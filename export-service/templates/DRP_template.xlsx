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ranvil/01_coding/defect-forecast-review/export-service/templates/"/>
    </mc:Choice>
  </mc:AlternateContent>
  <xr:revisionPtr revIDLastSave="0" documentId="13_ncr:1_{CA437008-2A9B-D54B-BC7D-6A4DDCFAA13F}" xr6:coauthVersionLast="47" xr6:coauthVersionMax="47" xr10:uidLastSave="{00000000-0000-0000-0000-000000000000}"/>
  <bookViews>
    <workbookView xWindow="5920" yWindow="10380" windowWidth="51200" windowHeight="21840" xr2:uid="{00000000-000D-0000-FFFF-FFFF00000000}"/>
  </bookViews>
  <sheets>
    <sheet name="DRP Plan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_1">#REF!</definedName>
    <definedName name="_Toc">#REF!</definedName>
    <definedName name="_Toc182012204_2">#REF!</definedName>
    <definedName name="_Toc182012204_2_4">#REF!</definedName>
    <definedName name="_Toc182012204_2_5">#REF!</definedName>
    <definedName name="a">#REF!</definedName>
    <definedName name="aaaa">#REF!</definedName>
    <definedName name="aabb">#REF!</definedName>
    <definedName name="ApprovedMods">#REF!</definedName>
    <definedName name="ApprovedModules">#REF!</definedName>
    <definedName name="AreaList">#REF!</definedName>
    <definedName name="BB">[1]BOM评审!$M$5:$M$9</definedName>
    <definedName name="bbb">#REF!</definedName>
    <definedName name="BREW_defined_field_ids">'[2]AddrBook Data'!#REF!</definedName>
    <definedName name="Carriers">#REF!</definedName>
    <definedName name="ChangeReason">#REF!</definedName>
    <definedName name="ChangeType">#REF!</definedName>
    <definedName name="date_log">#REF!</definedName>
    <definedName name="date_menu">#REF!</definedName>
    <definedName name="date_req">#REF!</definedName>
    <definedName name="date_uc">#REF!</definedName>
    <definedName name="DR4_operators">'[3]Weekly Cases Opened'!#REF!</definedName>
    <definedName name="Excel_BuiltIn__FilterDatabase_5">[4]Performance!#REF!</definedName>
    <definedName name="FormFactor">#REF!</definedName>
    <definedName name="GenSort">[5]!GenSort</definedName>
    <definedName name="handset">[6]Cover!#REF!</definedName>
    <definedName name="ModuleSelect">[7]Hidden!$A$1:$A$7</definedName>
    <definedName name="MONTH2">'[8]summary, MTH'!#REF!</definedName>
    <definedName name="MONTH3">'[8]summary, MTH'!#REF!</definedName>
    <definedName name="Old">#REF!</definedName>
    <definedName name="Owner">#REF!</definedName>
    <definedName name="PEK_addr_fields">'[2]AddrBook Data'!$T$5:$T$204</definedName>
    <definedName name="Print_Area_1">'[9]Vertical Schedule guidance'!#REF!</definedName>
    <definedName name="Print_Area_2">#REF!</definedName>
    <definedName name="QualSort">[5]!QualSort</definedName>
    <definedName name="RD_Decision">[10]BOM评审RLC替代料!#REF!</definedName>
    <definedName name="Release">#REF!</definedName>
    <definedName name="ReleaseDate">#REF!</definedName>
    <definedName name="ReleaseDates">#REF!</definedName>
    <definedName name="RescSort">[5]!RescSort</definedName>
    <definedName name="Result">#REF!</definedName>
    <definedName name="RiskCodes">'[11]Risk Codes'!$C$3:$F$6</definedName>
    <definedName name="RiskResponse">[12]Sheet1!$D$7:$D$9</definedName>
    <definedName name="status">[13]Sheet1!$M$5:$M$8</definedName>
    <definedName name="status_4">[14]Sheet1!$M$5:$M$8</definedName>
    <definedName name="status_5">[14]Sheet1!$M$5:$M$8</definedName>
    <definedName name="Sub_Phase">#REF!</definedName>
    <definedName name="SubPhase">#REF!</definedName>
    <definedName name="TestSort">[5]!TestSort</definedName>
    <definedName name="Today">TODAY()</definedName>
    <definedName name="Weekly_Cases_Opened">'[3]Weekly Cases Opened'!#REF!</definedName>
    <definedName name="x">'[15]Risk Codes'!$C$2:$F$6</definedName>
    <definedName name="xx">'[15]Risk Codes'!$C$7:$F$7</definedName>
    <definedName name="模块名">[16]Component一览!$B$2:$B$113</definedName>
    <definedName name="優先順位の定義">#REF!</definedName>
  </definedNames>
  <calcPr calcId="191029"/>
  <customWorkbookViews>
    <customWorkbookView name="Fang, YANG(R&amp;D VAL GCS VAL-CD-TCT) - 个人视图" guid="{1062AB10-982C-4309-9CD5-0084ABD101B5}" personalView="1" maximized="1" xWindow="-11" yWindow="-11" windowWidth="1942" windowHeight="1042" activeSheetId="1"/>
    <customWorkbookView name="Mengjiao Ma 马梦娇 - 个人视图" guid="{D796FD1B-3799-48AB-9F20-11C8F0719461}" personalView="1" maximized="1" xWindow="-11" yWindow="-11" windowWidth="1942" windowHeight="1042" activeSheetId="0"/>
    <customWorkbookView name="TCL - 个人视图" guid="{A17EB640-8A85-4654-BB32-64D77149EF56}" personalView="1" maximized="1" xWindow="2552" yWindow="-8" windowWidth="2576" windowHeight="1416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1" l="1"/>
  <c r="F24" i="1" s="1"/>
  <c r="G24" i="1" s="1"/>
  <c r="H24" i="1" s="1"/>
  <c r="D24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C13" i="1" s="1"/>
  <c r="I24" i="1" l="1"/>
  <c r="J24" i="1" s="1"/>
  <c r="K24" i="1" s="1"/>
  <c r="L24" i="1" s="1"/>
  <c r="M24" i="1" s="1"/>
  <c r="N24" i="1" s="1"/>
  <c r="O24" i="1" s="1"/>
  <c r="P24" i="1" s="1"/>
  <c r="Q24" i="1" s="1"/>
  <c r="R24" i="1" s="1"/>
  <c r="S24" i="1" s="1"/>
  <c r="T24" i="1" s="1"/>
  <c r="U24" i="1" s="1"/>
  <c r="V24" i="1" s="1"/>
  <c r="W24" i="1" s="1"/>
  <c r="X24" i="1" s="1"/>
  <c r="Y24" i="1" s="1"/>
  <c r="Z24" i="1" s="1"/>
  <c r="AA24" i="1" s="1"/>
  <c r="AB24" i="1" s="1"/>
  <c r="C25" i="1"/>
  <c r="D13" i="1"/>
  <c r="D25" i="1" l="1"/>
  <c r="E13" i="1"/>
  <c r="E25" i="1" l="1"/>
  <c r="F13" i="1"/>
  <c r="G13" i="1" l="1"/>
  <c r="F25" i="1"/>
  <c r="H13" i="1" l="1"/>
  <c r="G25" i="1"/>
  <c r="H25" i="1" l="1"/>
  <c r="I13" i="1"/>
  <c r="J13" i="1" l="1"/>
  <c r="I25" i="1"/>
  <c r="J25" i="1" l="1"/>
  <c r="K13" i="1"/>
  <c r="L13" i="1" l="1"/>
  <c r="K25" i="1"/>
  <c r="M13" i="1" l="1"/>
  <c r="L25" i="1"/>
  <c r="M25" i="1" l="1"/>
  <c r="N13" i="1"/>
  <c r="N25" i="1" l="1"/>
  <c r="O13" i="1"/>
  <c r="O25" i="1" l="1"/>
  <c r="P13" i="1"/>
  <c r="P25" i="1" l="1"/>
  <c r="Q13" i="1"/>
  <c r="Q25" i="1" l="1"/>
  <c r="R13" i="1"/>
  <c r="R25" i="1" l="1"/>
  <c r="S13" i="1"/>
  <c r="T13" i="1" l="1"/>
  <c r="S25" i="1"/>
  <c r="U13" i="1" l="1"/>
  <c r="T25" i="1"/>
  <c r="V13" i="1" l="1"/>
  <c r="U25" i="1"/>
  <c r="W13" i="1" l="1"/>
  <c r="V25" i="1"/>
  <c r="W25" i="1" l="1"/>
  <c r="X13" i="1"/>
  <c r="X25" i="1" l="1"/>
  <c r="Y13" i="1"/>
  <c r="Z13" i="1" l="1"/>
  <c r="Y25" i="1"/>
  <c r="AA13" i="1" l="1"/>
  <c r="Z25" i="1"/>
  <c r="AA25" i="1" l="1"/>
  <c r="AB13" i="1"/>
  <c r="AB2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Ronggao, YANG(R&amp;D SPC SPMD-SZ-TCT)</author>
  </authors>
  <commentList>
    <comment ref="A2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Ronggao, YANG(R&amp;D SPC SPMD-SZ-TCT):</t>
        </r>
        <r>
          <rPr>
            <sz val="9"/>
            <rFont val="宋体"/>
            <family val="3"/>
            <charset val="134"/>
          </rPr>
          <t xml:space="preserve">
项目名写这里</t>
        </r>
      </text>
    </comment>
  </commentList>
</comments>
</file>

<file path=xl/sharedStrings.xml><?xml version="1.0" encoding="utf-8"?>
<sst xmlns="http://schemas.openxmlformats.org/spreadsheetml/2006/main" count="80" uniqueCount="61">
  <si>
    <r>
      <rPr>
        <sz val="10"/>
        <color rgb="FF000000"/>
        <rFont val="宋体"/>
        <family val="3"/>
        <charset val="134"/>
      </rPr>
      <t>项目名</t>
    </r>
  </si>
  <si>
    <t>Month</t>
  </si>
  <si>
    <t>Monet NP Dish</t>
  </si>
  <si>
    <t>Date</t>
  </si>
  <si>
    <r>
      <rPr>
        <sz val="10"/>
        <color rgb="FF000000"/>
        <rFont val="宋体"/>
        <family val="3"/>
        <charset val="134"/>
      </rPr>
      <t>部门</t>
    </r>
  </si>
  <si>
    <t>Week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</si>
  <si>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</si>
  <si>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</si>
  <si>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</si>
  <si>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</si>
  <si>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</si>
  <si>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</si>
  <si>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</si>
  <si>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</si>
  <si>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</si>
  <si>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</si>
  <si>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</si>
  <si>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</si>
  <si>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</si>
  <si>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</si>
  <si>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</si>
  <si>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</si>
  <si>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</si>
  <si>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</si>
  <si>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</si>
  <si>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</si>
  <si>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</si>
  <si>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</si>
  <si>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</si>
  <si>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</si>
  <si>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</si>
  <si>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</si>
  <si>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Created</t>
  </si>
  <si>
    <t>Google XTS</t>
  </si>
  <si>
    <r>
      <rPr>
        <sz val="11"/>
        <color theme="1"/>
        <rFont val="宋体"/>
        <family val="3"/>
        <charset val="134"/>
      </rPr>
      <t>系统质量二部</t>
    </r>
    <r>
      <rPr>
        <sz val="11"/>
        <color theme="1"/>
        <rFont val="Calibri"/>
        <family val="2"/>
      </rPr>
      <t>-</t>
    </r>
    <r>
      <rPr>
        <sz val="11"/>
        <color theme="1"/>
        <rFont val="宋体"/>
        <family val="3"/>
        <charset val="134"/>
      </rPr>
      <t>运营商系统测试组</t>
    </r>
  </si>
  <si>
    <r>
      <rPr>
        <sz val="11"/>
        <color theme="1"/>
        <rFont val="宋体"/>
        <family val="3"/>
        <charset val="134"/>
      </rPr>
      <t>系统质量二部</t>
    </r>
    <r>
      <rPr>
        <sz val="11"/>
        <color theme="1"/>
        <rFont val="Calibri"/>
        <family val="2"/>
      </rPr>
      <t>-</t>
    </r>
    <r>
      <rPr>
        <sz val="11"/>
        <color theme="1"/>
        <rFont val="宋体"/>
        <family val="3"/>
        <charset val="134"/>
      </rPr>
      <t>北美需求交付组</t>
    </r>
  </si>
  <si>
    <t>北美测试部</t>
  </si>
  <si>
    <r>
      <rPr>
        <sz val="11"/>
        <color theme="1"/>
        <rFont val="宋体"/>
        <family val="3"/>
        <charset val="134"/>
      </rPr>
      <t>专项与协议测试部</t>
    </r>
    <r>
      <rPr>
        <sz val="11"/>
        <color theme="1"/>
        <rFont val="Calibri"/>
        <family val="2"/>
      </rPr>
      <t>-</t>
    </r>
    <r>
      <rPr>
        <sz val="11"/>
        <color theme="1"/>
        <rFont val="宋体"/>
        <family val="3"/>
        <charset val="134"/>
      </rPr>
      <t>运营商专项测试二组</t>
    </r>
  </si>
  <si>
    <r>
      <rPr>
        <sz val="11"/>
        <color theme="1"/>
        <rFont val="宋体"/>
        <family val="3"/>
        <charset val="134"/>
      </rPr>
      <t>专项与协议测试部</t>
    </r>
    <r>
      <rPr>
        <sz val="11"/>
        <color theme="1"/>
        <rFont val="Calibri"/>
        <family val="2"/>
      </rPr>
      <t>-</t>
    </r>
    <r>
      <rPr>
        <sz val="11"/>
        <color theme="1"/>
        <rFont val="宋体"/>
        <family val="3"/>
        <charset val="134"/>
      </rPr>
      <t>运营商协议测试一组</t>
    </r>
  </si>
  <si>
    <r>
      <rPr>
        <sz val="11"/>
        <color theme="1"/>
        <rFont val="宋体"/>
        <family val="3"/>
        <charset val="134"/>
      </rPr>
      <t>流水线</t>
    </r>
  </si>
  <si>
    <t>Hera/Usersupport/APRUUT</t>
  </si>
  <si>
    <t>Total Created</t>
  </si>
  <si>
    <r>
      <rPr>
        <sz val="11"/>
        <color theme="1"/>
        <rFont val="宋体"/>
        <family val="3"/>
        <charset val="134"/>
      </rPr>
      <t>累计创建</t>
    </r>
  </si>
  <si>
    <t>Fixed</t>
  </si>
  <si>
    <r>
      <rPr>
        <sz val="8"/>
        <color rgb="FF000000"/>
        <rFont val="宋体"/>
        <family val="3"/>
        <charset val="134"/>
      </rPr>
      <t>协议技术部</t>
    </r>
  </si>
  <si>
    <r>
      <rPr>
        <sz val="11"/>
        <color theme="1"/>
        <rFont val="宋体"/>
        <family val="3"/>
        <charset val="134"/>
      </rPr>
      <t>底软技术部</t>
    </r>
  </si>
  <si>
    <r>
      <rPr>
        <sz val="11"/>
        <color theme="1"/>
        <rFont val="宋体"/>
        <family val="3"/>
        <charset val="134"/>
      </rPr>
      <t>系统技术部</t>
    </r>
  </si>
  <si>
    <r>
      <rPr>
        <sz val="11"/>
        <color theme="1"/>
        <rFont val="宋体"/>
        <family val="3"/>
        <charset val="134"/>
      </rPr>
      <t>运营商应用开发部</t>
    </r>
  </si>
  <si>
    <r>
      <rPr>
        <sz val="11"/>
        <color theme="1"/>
        <rFont val="宋体"/>
        <family val="3"/>
        <charset val="134"/>
      </rPr>
      <t>基础应用开发部</t>
    </r>
  </si>
  <si>
    <r>
      <rPr>
        <sz val="11"/>
        <color theme="1"/>
        <rFont val="宋体"/>
        <family val="3"/>
        <charset val="134"/>
      </rPr>
      <t>独立应用开发部</t>
    </r>
  </si>
  <si>
    <r>
      <rPr>
        <sz val="11"/>
        <color theme="1"/>
        <rFont val="宋体"/>
        <family val="3"/>
        <charset val="134"/>
      </rPr>
      <t>工程效能部</t>
    </r>
  </si>
  <si>
    <r>
      <rPr>
        <sz val="8"/>
        <color rgb="FF000000"/>
        <rFont val="宋体"/>
        <family val="3"/>
        <charset val="134"/>
      </rPr>
      <t>终端</t>
    </r>
    <r>
      <rPr>
        <sz val="8"/>
        <color rgb="FF000000"/>
        <rFont val="Calibri"/>
        <family val="2"/>
      </rPr>
      <t>OS</t>
    </r>
    <r>
      <rPr>
        <sz val="8"/>
        <color rgb="FF000000"/>
        <rFont val="宋体"/>
        <family val="3"/>
        <charset val="134"/>
      </rPr>
      <t>部</t>
    </r>
  </si>
  <si>
    <t>Camera</t>
  </si>
  <si>
    <t>Total Fixed</t>
  </si>
  <si>
    <r>
      <rPr>
        <sz val="11"/>
        <color theme="1"/>
        <rFont val="宋体"/>
        <family val="3"/>
        <charset val="134"/>
      </rPr>
      <t>累计解决</t>
    </r>
  </si>
  <si>
    <r>
      <rPr>
        <sz val="11"/>
        <color theme="1"/>
        <rFont val="宋体"/>
        <family val="3"/>
        <charset val="134"/>
      </rPr>
      <t>遗留</t>
    </r>
  </si>
  <si>
    <t>Backlog</t>
  </si>
  <si>
    <t>MV 版本</t>
  </si>
  <si>
    <t>问题提交率</t>
    <phoneticPr fontId="15" type="noConversion"/>
  </si>
  <si>
    <t>问题解决率</t>
    <phoneticPr fontId="15" type="noConversion"/>
  </si>
  <si>
    <t>测试完成率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</si>
</sst>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-409]d\-mmm;@"/>
    <numFmt numFmtId="177" formatCode="[$-F400]h:mm:ss\ AM/PM"/>
    <numFmt numFmtId="178" formatCode="[$-409]mmm/yy;@"/>
    <numFmt numFmtId="179" formatCode="d"/>
    <numFmt numFmtId="180" formatCode="yyyy&quot;年&quot;m&quot;月&quot;;@"/>
    <numFmt numFmtId="181" formatCode="yyyy/m"/>
    <numFmt numFmtId="182" formatCode="0.0_);[Red]\(0.0\)"/>
  </numFmts>
  <fonts count="17">
    <font>
      <sz val="11"/>
      <color theme="1"/>
      <name val="宋体"/>
      <charset val="134"/>
      <scheme val="minor"/>
    </font>
    <font>
      <sz val="11"/>
      <color theme="1"/>
      <name val="Calibri"/>
      <family val="2"/>
    </font>
    <font>
      <sz val="10"/>
      <color rgb="FF000000"/>
      <name val="Calibri"/>
      <family val="2"/>
    </font>
    <font>
      <b/>
      <sz val="10"/>
      <color rgb="FFFF0000"/>
      <name val="Calibri"/>
      <family val="2"/>
    </font>
    <font>
      <sz val="11"/>
      <name val="Calibri"/>
      <family val="2"/>
    </font>
    <font>
      <sz val="11"/>
      <color theme="1"/>
      <name val="宋体"/>
      <family val="3"/>
      <charset val="134"/>
    </font>
    <font>
      <b/>
      <sz val="10"/>
      <color rgb="FF000000"/>
      <name val="Calibri"/>
      <family val="2"/>
    </font>
    <font>
      <b/>
      <sz val="10"/>
      <color theme="1"/>
      <name val="Calibri"/>
      <family val="2"/>
    </font>
    <font>
      <sz val="10"/>
      <name val="Arial"/>
      <family val="2"/>
    </font>
    <font>
      <sz val="8"/>
      <color rgb="FF000000"/>
      <name val="宋体"/>
      <family val="3"/>
      <charset val="134"/>
    </font>
    <font>
      <sz val="10"/>
      <color rgb="FF000000"/>
      <name val="宋体"/>
      <family val="3"/>
      <charset val="134"/>
    </font>
    <font>
      <sz val="8"/>
      <color rgb="FF000000"/>
      <name val="Calibri"/>
      <family val="2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Microsoft YaHei"/>
      <family val="2"/>
      <charset val="134"/>
    </font>
  </fonts>
  <fills count="14">
    <fill>
      <patternFill patternType="none"/>
    </fill>
    <fill>
      <patternFill patternType="gray125"/>
    </fill>
    <fill>
      <patternFill patternType="solid">
        <fgColor rgb="FFE5F6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E3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2ECFF"/>
        <bgColor indexed="64"/>
      </patternFill>
    </fill>
    <fill>
      <patternFill patternType="solid">
        <fgColor rgb="FFDECEF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</borders>
  <cellStyleXfs count="5">
    <xf numFmtId="0" fontId="0" fillId="0" borderId="0"/>
    <xf numFmtId="176" fontId="8" fillId="0" borderId="0" applyBorder="0"/>
    <xf numFmtId="177" fontId="8" fillId="0" borderId="0" applyBorder="0"/>
    <xf numFmtId="176" fontId="14" fillId="0" borderId="0">
      <alignment vertical="center"/>
    </xf>
    <xf numFmtId="178" fontId="14" fillId="0" borderId="0"/>
  </cellStyleXfs>
  <cellXfs count="50">
    <xf numFmtId="0" fontId="0" fillId="0" borderId="0" xfId="0"/>
    <xf numFmtId="0" fontId="1" fillId="0" borderId="0" xfId="0" applyFont="1"/>
    <xf numFmtId="179" fontId="2" fillId="2" borderId="1" xfId="0" applyNumberFormat="1" applyFont="1" applyFill="1" applyBorder="1" applyAlignment="1">
      <alignment vertical="center"/>
    </xf>
    <xf numFmtId="179" fontId="3" fillId="2" borderId="1" xfId="0" applyNumberFormat="1" applyFont="1" applyFill="1" applyBorder="1" applyAlignment="1">
      <alignment vertical="center"/>
    </xf>
    <xf numFmtId="179" fontId="2" fillId="2" borderId="5" xfId="0" applyNumberFormat="1" applyFont="1" applyFill="1" applyBorder="1" applyAlignment="1">
      <alignment vertical="center"/>
    </xf>
    <xf numFmtId="179" fontId="2" fillId="2" borderId="6" xfId="0" applyNumberFormat="1" applyFont="1" applyFill="1" applyBorder="1" applyAlignment="1">
      <alignment horizontal="center" vertical="center"/>
    </xf>
    <xf numFmtId="179" fontId="2" fillId="2" borderId="7" xfId="0" applyNumberFormat="1" applyFont="1" applyFill="1" applyBorder="1" applyAlignment="1">
      <alignment horizontal="center" vertical="center"/>
    </xf>
    <xf numFmtId="179" fontId="2" fillId="2" borderId="8" xfId="0" applyNumberFormat="1" applyFont="1" applyFill="1" applyBorder="1" applyAlignment="1">
      <alignment horizontal="center" vertical="center"/>
    </xf>
    <xf numFmtId="179" fontId="2" fillId="2" borderId="9" xfId="0" applyNumberFormat="1" applyFont="1" applyFill="1" applyBorder="1" applyAlignment="1">
      <alignment horizontal="center" vertical="center"/>
    </xf>
    <xf numFmtId="181" fontId="2" fillId="2" borderId="8" xfId="0" applyNumberFormat="1" applyFont="1" applyFill="1" applyBorder="1" applyAlignment="1">
      <alignment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0" borderId="8" xfId="0" applyFont="1" applyBorder="1"/>
    <xf numFmtId="0" fontId="4" fillId="0" borderId="8" xfId="1" applyNumberFormat="1" applyFont="1" applyBorder="1" applyAlignment="1">
      <alignment horizontal="center" vertical="center" wrapText="1"/>
    </xf>
    <xf numFmtId="0" fontId="5" fillId="0" borderId="8" xfId="0" applyFont="1" applyBorder="1"/>
    <xf numFmtId="0" fontId="1" fillId="9" borderId="8" xfId="0" applyFont="1" applyFill="1" applyBorder="1"/>
    <xf numFmtId="182" fontId="6" fillId="9" borderId="8" xfId="0" applyNumberFormat="1" applyFont="1" applyFill="1" applyBorder="1" applyAlignment="1">
      <alignment horizontal="left" vertical="center" wrapText="1"/>
    </xf>
    <xf numFmtId="0" fontId="6" fillId="9" borderId="8" xfId="0" applyFont="1" applyFill="1" applyBorder="1" applyAlignment="1">
      <alignment horizontal="center" vertical="center"/>
    </xf>
    <xf numFmtId="0" fontId="1" fillId="10" borderId="8" xfId="0" applyFont="1" applyFill="1" applyBorder="1"/>
    <xf numFmtId="0" fontId="6" fillId="10" borderId="8" xfId="0" applyFont="1" applyFill="1" applyBorder="1" applyAlignment="1">
      <alignment horizontal="center" vertical="center"/>
    </xf>
    <xf numFmtId="0" fontId="7" fillId="10" borderId="8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/>
    </xf>
    <xf numFmtId="0" fontId="6" fillId="0" borderId="8" xfId="0" applyFont="1" applyBorder="1" applyAlignment="1">
      <alignment horizontal="center" vertical="center"/>
    </xf>
    <xf numFmtId="0" fontId="7" fillId="9" borderId="8" xfId="0" applyFont="1" applyFill="1" applyBorder="1" applyAlignment="1">
      <alignment horizontal="center"/>
    </xf>
    <xf numFmtId="0" fontId="7" fillId="10" borderId="8" xfId="0" applyFont="1" applyFill="1" applyBorder="1" applyAlignment="1">
      <alignment horizontal="center"/>
    </xf>
    <xf numFmtId="180" fontId="2" fillId="8" borderId="2" xfId="0" applyNumberFormat="1" applyFont="1" applyFill="1" applyBorder="1" applyAlignment="1">
      <alignment horizontal="center" vertical="center"/>
    </xf>
    <xf numFmtId="180" fontId="2" fillId="8" borderId="3" xfId="0" applyNumberFormat="1" applyFont="1" applyFill="1" applyBorder="1" applyAlignment="1">
      <alignment horizontal="center" vertical="center"/>
    </xf>
    <xf numFmtId="180" fontId="2" fillId="8" borderId="4" xfId="0" applyNumberFormat="1" applyFont="1" applyFill="1" applyBorder="1" applyAlignment="1">
      <alignment horizontal="center" vertical="center"/>
    </xf>
    <xf numFmtId="180" fontId="2" fillId="3" borderId="2" xfId="0" applyNumberFormat="1" applyFont="1" applyFill="1" applyBorder="1" applyAlignment="1">
      <alignment horizontal="center" vertical="center"/>
    </xf>
    <xf numFmtId="180" fontId="2" fillId="3" borderId="3" xfId="0" applyNumberFormat="1" applyFont="1" applyFill="1" applyBorder="1" applyAlignment="1">
      <alignment horizontal="center" vertical="center"/>
    </xf>
    <xf numFmtId="180" fontId="2" fillId="3" borderId="4" xfId="0" applyNumberFormat="1" applyFont="1" applyFill="1" applyBorder="1" applyAlignment="1">
      <alignment horizontal="center" vertical="center"/>
    </xf>
    <xf numFmtId="180" fontId="2" fillId="4" borderId="2" xfId="0" applyNumberFormat="1" applyFont="1" applyFill="1" applyBorder="1" applyAlignment="1">
      <alignment horizontal="center" vertical="center"/>
    </xf>
    <xf numFmtId="180" fontId="2" fillId="4" borderId="3" xfId="0" applyNumberFormat="1" applyFont="1" applyFill="1" applyBorder="1" applyAlignment="1">
      <alignment horizontal="center" vertical="center"/>
    </xf>
    <xf numFmtId="180" fontId="2" fillId="4" borderId="4" xfId="0" applyNumberFormat="1" applyFont="1" applyFill="1" applyBorder="1" applyAlignment="1">
      <alignment horizontal="center" vertical="center"/>
    </xf>
    <xf numFmtId="180" fontId="2" fillId="5" borderId="2" xfId="0" applyNumberFormat="1" applyFont="1" applyFill="1" applyBorder="1" applyAlignment="1">
      <alignment horizontal="center" vertical="center"/>
    </xf>
    <xf numFmtId="180" fontId="2" fillId="5" borderId="3" xfId="0" applyNumberFormat="1" applyFont="1" applyFill="1" applyBorder="1" applyAlignment="1">
      <alignment horizontal="center" vertical="center"/>
    </xf>
    <xf numFmtId="180" fontId="2" fillId="5" borderId="4" xfId="0" applyNumberFormat="1" applyFont="1" applyFill="1" applyBorder="1" applyAlignment="1">
      <alignment horizontal="center" vertical="center"/>
    </xf>
    <xf numFmtId="180" fontId="2" fillId="6" borderId="2" xfId="0" applyNumberFormat="1" applyFont="1" applyFill="1" applyBorder="1" applyAlignment="1">
      <alignment horizontal="center" vertical="center"/>
    </xf>
    <xf numFmtId="180" fontId="2" fillId="6" borderId="3" xfId="0" applyNumberFormat="1" applyFont="1" applyFill="1" applyBorder="1" applyAlignment="1">
      <alignment horizontal="center" vertical="center"/>
    </xf>
    <xf numFmtId="180" fontId="2" fillId="6" borderId="4" xfId="0" applyNumberFormat="1" applyFont="1" applyFill="1" applyBorder="1" applyAlignment="1">
      <alignment horizontal="center" vertical="center"/>
    </xf>
    <xf numFmtId="180" fontId="2" fillId="7" borderId="2" xfId="0" applyNumberFormat="1" applyFont="1" applyFill="1" applyBorder="1" applyAlignment="1">
      <alignment horizontal="center" vertical="center"/>
    </xf>
    <xf numFmtId="180" fontId="2" fillId="7" borderId="3" xfId="0" applyNumberFormat="1" applyFont="1" applyFill="1" applyBorder="1" applyAlignment="1">
      <alignment horizontal="center" vertical="center"/>
    </xf>
    <xf numFmtId="180" fontId="2" fillId="7" borderId="4" xfId="0" applyNumberFormat="1" applyFont="1" applyFill="1" applyBorder="1" applyAlignment="1">
      <alignment horizontal="center" vertical="center"/>
    </xf>
    <xf numFmtId="0" fontId="16" fillId="13" borderId="8" xfId="0" applyFont="1" applyFill="1" applyBorder="1"/>
    <xf numFmtId="0" fontId="1" fillId="13" borderId="8" xfId="0" applyFont="1" applyFill="1" applyBorder="1"/>
    <xf numFmtId="0" fontId="16" fillId="11" borderId="8" xfId="0" applyFont="1" applyFill="1" applyBorder="1"/>
    <xf numFmtId="0" fontId="1" fillId="11" borderId="8" xfId="0" applyFont="1" applyFill="1" applyBorder="1"/>
    <xf numFmtId="0" fontId="16" fillId="12" borderId="8" xfId="0" applyFont="1" applyFill="1" applyBorder="1"/>
    <xf numFmtId="0" fontId="1" fillId="12" borderId="8" xfId="0" applyFont="1" applyFill="1" applyBorder="1"/>
  </cellXfs>
  <cellStyles count="5">
    <cellStyle name="常规" xfId="0" builtinId="0"/>
    <cellStyle name="常规 2" xfId="1" xr:uid="{00000000-0005-0000-0000-000031000000}"/>
    <cellStyle name="常规 2 2" xfId="2" xr:uid="{00000000-0005-0000-0000-000032000000}"/>
    <cellStyle name="常规 3" xfId="3" xr:uid="{00000000-0005-0000-0000-000033000000}"/>
    <cellStyle name="常规 4" xfId="4" xr:uid="{00000000-0005-0000-0000-000034000000}"/>
  </cellStyles>
  <dxfs count="0"/>
  <tableStyles count="0" defaultTableStyle="TableStyleMedium9" defaultPivotStyle="PivotStyleLight16"/>
  <colors>
    <mruColors>
      <color rgb="FFDECEF2"/>
      <color rgb="FFD2ECFF"/>
      <color rgb="FFCF9CF4"/>
      <color rgb="FFDDDDDD"/>
      <color rgb="FF777777"/>
      <color rgb="FFE5F6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21" Type="http://schemas.openxmlformats.org/officeDocument/2006/relationships/calcChain" Target="calcChain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10" Type="http://schemas.openxmlformats.org/officeDocument/2006/relationships/externalLink" Target="externalLinks/externalLink9.xml"/><Relationship Id="rId19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cdapp01/VAL-CD/&#34203;&#29618;&#30340;&#24037;&#20316;&#25991;&#20214;/2010/Yippee%203G/Yippee%203G_BOM%20Change%20Request_20100927.xls" TargetMode="External"/><Relationship Id="rId1" Type="http://schemas.openxmlformats.org/officeDocument/2006/relationships/externalLinkPath" Target="/cdapp01/VAL-CD/&#34203;&#29618;&#30340;&#24037;&#20316;&#25991;&#20214;/2010/Yippee%203G/Yippee%203G_BOM%20Change%20Request_20100927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cdapp01/VAL-CD/C/Documents%20and%20Settings/xianglai.li/Local%20Settings/Temporary%20Internet%20Files/Content.Outlook/M02DO6OT/data/nishome/td/bin.song/Yarils5US/data/nishome/td/bin.song/Yarils5US/Worksheet%20in%20Reqs-BREW.doc" TargetMode="External"/><Relationship Id="rId1" Type="http://schemas.openxmlformats.org/officeDocument/2006/relationships/externalLinkPath" Target="/cdapp01/VAL-CD/C/Documents%20and%20Settings/xianglai.li/Local%20Settings/Temporary%20Internet%20Files/Content.Outlook/M02DO6OT/data/nishome/td/bin.song/Yarils5US/data/nishome/td/bin.song/Yarils5US/Worksheet%20in%20Reqs-BREW.doc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Brickman/or-server/Oregon%20Server/Products/WK-7.XLS" TargetMode="External"/><Relationship Id="rId1" Type="http://schemas.openxmlformats.org/officeDocument/2006/relationships/externalLinkPath" Target="/Brickman/or-server/Oregon%20Server/Products/WK-7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cdapp01/VAL-CD/D/DOCUME~1/ADMINI~1/LOCALS~1/Temp/TNote_proposal_0.7.xls" TargetMode="External"/><Relationship Id="rId1" Type="http://schemas.openxmlformats.org/officeDocument/2006/relationships/externalLinkPath" Target="/cdapp01/VAL-CD/D/DOCUME~1/ADMINI~1/LOCALS~1/Temp/TNote_proposal_0.7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Hfspublic009/PLATFORM/temp/risktemp.xls" TargetMode="External"/><Relationship Id="rId1" Type="http://schemas.openxmlformats.org/officeDocument/2006/relationships/externalLinkPath" Target="/Hfspublic009/PLATFORM/temp/risktemp.xls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cdapp01/VAL-CD/D/Temp/OGDR%2012.0/docs/OGDR%2012.0%20Appendix/Orange%20Android%20Platform%20guidelines%202.2/Orange%20Android%20Platform%20Guidelines%20Compliancy_v2.2.xls" TargetMode="External"/><Relationship Id="rId1" Type="http://schemas.openxmlformats.org/officeDocument/2006/relationships/externalLinkPath" Target="/cdapp01/VAL-CD/D/Temp/OGDR%2012.0/docs/OGDR%2012.0%20Appendix/Orange%20Android%20Platform%20guidelines%202.2/Orange%20Android%20Platform%20Guidelines%20Compliancy_v2.2.xls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cdapp01/VAL-CD/C/Users/lian.li/AppData/Local/Microsoft/Windows/Temporary%20Internet%20Files/Content.Outlook/XB4BA38O/A564C_Yaris5_OD%20TECC%20Ver%206%205_Locked_SW_20140115%20(2).xls" TargetMode="External"/><Relationship Id="rId1" Type="http://schemas.openxmlformats.org/officeDocument/2006/relationships/externalLinkPath" Target="/cdapp01/VAL-CD/C/Users/lian.li/AppData/Local/Microsoft/Windows/Temporary%20Internet%20Files/Content.Outlook/XB4BA38O/A564C_Yaris5_OD%20TECC%20Ver%206%205_Locked_SW_20140115%20(2).xls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GOBI/SYS1/SDO/!REPORTS/SUMMARY.001/40Q4_001.XLS" TargetMode="External"/><Relationship Id="rId1" Type="http://schemas.openxmlformats.org/officeDocument/2006/relationships/externalLinkPath" Target="/GOBI/SYS1/SDO/!REPORTS/SUMMARY.001/40Q4_001.XLS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filecenter/Documents%20and%20Settings/pjblouin/Local%20Settings/Temporary%20Internet%20Files/Content.Outlook/ERSQGBAN/MeeGo%20Handset%20schedule%20guidance-SVK-ww42%203.xlsx" TargetMode="External"/><Relationship Id="rId1" Type="http://schemas.openxmlformats.org/officeDocument/2006/relationships/externalLinkPath" Target="/filecenter/Documents%20and%20Settings/pjblouin/Local%20Settings/Temporary%20Internet%20Files/Content.Outlook/ERSQGBAN/MeeGo%20Handset%20schedule%20guidance-SVK-ww42%203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cdapp01/VAL-CD/Documents%20and%20Settings/rong%20gong/Desktop/Yippeei-3G_Second_Source_Qualification_Plan_V02%202%2004.20.xls" TargetMode="External"/><Relationship Id="rId1" Type="http://schemas.openxmlformats.org/officeDocument/2006/relationships/externalLinkPath" Target="/cdapp01/VAL-CD/Documents%20and%20Settings/rong%20gong/Desktop/Yippeei-3G_Second_Source_Qualification_Plan_V02%202%2004.20.xls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http:/epgeroom.intel.com/Documents%20and%20Settings/kdjanati/My%20Documents/ODC%20Stuff/PXT%20Stuff/Risk%20Management/2004ww22%20PTM%20Risk%20Matrix_KJmod.xls" TargetMode="External"/><Relationship Id="rId1" Type="http://schemas.openxmlformats.org/officeDocument/2006/relationships/externalLinkPath" Target="/http:/epgeroom.intel.com/Documents%20and%20Settings/kdjanati/My%20Documents/ODC%20Stuff/PXT%20Stuff/Risk%20Management/2004ww22%20PTM%20Risk%20Matrix_KJmod.xls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cdapp01/VAL-CD/Users/think/AppData/Roaming/Foxmail7/Temp-8340-20221019180738/Attach/Worksheet%20in%20Risk%20Management%20042104.ppt" TargetMode="External"/><Relationship Id="rId1" Type="http://schemas.openxmlformats.org/officeDocument/2006/relationships/externalLinkPath" Target="/cdapp01/VAL-CD/Users/think/AppData/Roaming/Foxmail7/Temp-8340-20221019180738/Attach/Worksheet%20in%20Risk%20Management%20042104.ppt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cdapp01/VAL-CD/D/DOCUME~1/Owner/LOCALS~1/Temp/DOCUME~1/ADMINI~1/LOCALS~1/Temp/Marvell_Porting_list_0.1.xls" TargetMode="External"/><Relationship Id="rId1" Type="http://schemas.openxmlformats.org/officeDocument/2006/relationships/externalLinkPath" Target="/cdapp01/VAL-CD/D/DOCUME~1/Owner/LOCALS~1/Temp/DOCUME~1/ADMINI~1/LOCALS~1/Temp/Marvell_Porting_list_0.1.xls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cdapp01/VAL-CD/D/Documents%20and%20Settings/P11756/Local%20Settings/Temporary%20Internet%20Files/Content.Outlook/PT74Y2CC/DOCUME~1/ADMINI~1/LOCALS~1/Temp/Marvell_Porting_list_0.1.xls" TargetMode="External"/><Relationship Id="rId1" Type="http://schemas.openxmlformats.org/officeDocument/2006/relationships/externalLinkPath" Target="/cdapp01/VAL-CD/D/Documents%20and%20Settings/P11756/Local%20Settings/Temporary%20Internet%20Files/Content.Outlook/PT74Y2CC/DOCUME~1/ADMINI~1/LOCALS~1/Temp/Marvell_Porting_list_0.1.xls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https:/collaborate.intel.com/Products/Eden%20Prairie/SysDev%20-%20Eden%20Prairie%20Risks%20-%20ww06%20-%20Alpha%20Exit.xls" TargetMode="External"/><Relationship Id="rId1" Type="http://schemas.openxmlformats.org/officeDocument/2006/relationships/externalLinkPath" Target="/https:/collaborate.intel.com/Products/Eden%20Prairie/SysDev%20-%20Eden%20Prairie%20Risks%20-%20ww06%20-%20Alpha%20Exit.xls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cdapp01/VAL-CD/D/01-work/1109-QRD/&#32852;&#36890;&#35268;&#33539;&#38656;&#27714;&#20998;&#26512;&#27719;&#24635;&#34920;-&#24037;&#20316;&#37327;&#35780;&#20272;-201108%20.15-%20&#20840;&#20307;.xls" TargetMode="External"/><Relationship Id="rId1" Type="http://schemas.openxmlformats.org/officeDocument/2006/relationships/externalLinkPath" Target="/cdapp01/VAL-CD/D/01-work/1109-QRD/&#32852;&#36890;&#35268;&#33539;&#38656;&#27714;&#20998;&#26512;&#27719;&#24635;&#34920;-&#24037;&#20316;&#37327;&#35780;&#20272;-201108%20.15-%20&#20840;&#20307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OM评审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VZW BREW Data Sheet "/>
      <sheetName val="OEM Master"/>
      <sheetName val="OEM Exceptions"/>
      <sheetName val="AddrBook Data"/>
      <sheetName val="List"/>
      <sheetName val="메일주소 리스트"/>
      <sheetName val="Summary"/>
      <sheetName val="START HERE Instructions"/>
      <sheetName val="LTE Band 13 Network Access"/>
      <sheetName val="Sheet1"/>
      <sheetName val="Metrics"/>
      <sheetName val="Sheet2"/>
      <sheetName val="Input_List_Tab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Weekly Cases Opened"/>
      <sheetName val="核銷表"/>
      <sheetName val="Total_PR"/>
      <sheetName val="100172"/>
      <sheetName val="总公司2002.12.31"/>
      <sheetName val="E1020"/>
      <sheetName val="Feature"/>
      <sheetName val="dv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ssumptions_Conditions"/>
      <sheetName val="Organization"/>
      <sheetName val="Schedule_Dliveries"/>
      <sheetName val="Performance"/>
      <sheetName val="Team Member List"/>
      <sheetName val="font_list"/>
      <sheetName val="font_size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isktemp"/>
      <sheetName val="risktemp.xls"/>
      <sheetName val="Risk Codes"/>
      <sheetName val="Consol"/>
      <sheetName val="XL4Poppy"/>
      <sheetName val="AFEMAI"/>
      <sheetName val="Values"/>
      <sheetName val="Performance"/>
    </sheetNames>
    <definedNames>
      <definedName name="GenSort"/>
      <definedName name="QualSort"/>
      <definedName name="RescSort"/>
      <definedName name="TestSor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Orange Features"/>
    </sheetNames>
    <sheetDataSet>
      <sheetData sheetId="0"/>
      <sheetData sheetId="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evision History"/>
      <sheetName val="Test Plan Development"/>
      <sheetName val="Hidden"/>
      <sheetName val="ENAP ESN-MEID-IMEI"/>
      <sheetName val="Laptop Matrix"/>
      <sheetName val="MMS Device Profile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ary, MTH"/>
      <sheetName val="summary_ MTH"/>
      <sheetName val="Repayment Summary"/>
      <sheetName val="NZ"/>
      <sheetName val="以前年度损益调整"/>
      <sheetName val="Hidden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Vertical Schedule guidance"/>
      <sheetName val="Sheet1"/>
      <sheetName val="Values"/>
      <sheetName val="DataSheet"/>
    </sheetNames>
    <sheetDataSet>
      <sheetData sheetId="0"/>
      <sheetData sheetId="1"/>
      <sheetData sheetId="2" refreshError="1"/>
      <sheetData sheetId="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istorical"/>
      <sheetName val="Yippee 3G 2nd source matrix"/>
      <sheetName val="BOM评审RLC替代料"/>
    </sheetNames>
    <sheetDataSet>
      <sheetData sheetId="0" refreshError="1"/>
      <sheetData sheetId="1" refreshError="1"/>
      <sheetData sheetId="2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tents"/>
      <sheetName val="Changes and New"/>
      <sheetName val="Top Issues and Risks"/>
      <sheetName val="Rollup"/>
      <sheetName val="PO"/>
      <sheetName val="SC"/>
      <sheetName val="FD"/>
      <sheetName val="DP"/>
      <sheetName val="DV"/>
      <sheetName val="PDT"/>
      <sheetName val="11X"/>
      <sheetName val="ATD"/>
      <sheetName val="BIOS"/>
      <sheetName val="CR"/>
      <sheetName val="Debug"/>
      <sheetName val="D_Val"/>
      <sheetName val="EPSD"/>
      <sheetName val="Fuse"/>
      <sheetName val="Materials"/>
      <sheetName val="MKTG"/>
      <sheetName val="NPP"/>
      <sheetName val="PAE"/>
      <sheetName val="PDE"/>
      <sheetName val="PHI"/>
      <sheetName val="PPV"/>
      <sheetName val="QRE"/>
      <sheetName val="Readiness"/>
      <sheetName val="Si_Design"/>
      <sheetName val="STTD"/>
      <sheetName val="Validation"/>
      <sheetName val="Package"/>
      <sheetName val="Risk Data"/>
      <sheetName val="Risk Codes"/>
      <sheetName val="Risk Charts"/>
      <sheetName val="Mit Cont Indicator"/>
      <sheetName val="Spreadsheet Mechanics"/>
      <sheetName val="Risk Owners &amp; Menu"/>
      <sheetName val="Launch"/>
      <sheetName val="Feature"/>
      <sheetName val="RECONCILI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riteria"/>
      <sheetName val="Table"/>
      <sheetName val="Chart"/>
      <sheetName val="Sheet1"/>
      <sheetName val="Risk Codes"/>
      <sheetName val="Feature"/>
      <sheetName val="Summary definition"/>
      <sheetName val="DataSheet"/>
      <sheetName val="Resources Direct"/>
      <sheetName val="Workings"/>
      <sheetName val="Starter Export"/>
      <sheetName val="Macro1"/>
      <sheetName val="Data"/>
      <sheetName val="PM01-F09"/>
      <sheetName val="Manufacturers And Names Lists"/>
      <sheetName val="CAUDIT"/>
      <sheetName val="RA Bearer"/>
      <sheetName val="封面"/>
      <sheetName val="CRITERIA1"/>
      <sheetName val="CRITERIA2"/>
      <sheetName val="bal_sheet"/>
      <sheetName val="Data (c)"/>
      <sheetName val="Detailed Quote"/>
      <sheetName val="NRE"/>
      <sheetName val="Summary"/>
      <sheetName val="QUANTITIES"/>
      <sheetName val="WIP_STATION_REPAIR_Q"/>
      <sheetName val="Segment 4 Bid Sheet"/>
      <sheetName val="Lists"/>
      <sheetName val="Input commodity fallout"/>
      <sheetName val="Reporting"/>
      <sheetName val="Investigation_Note"/>
      <sheetName val="Constantes"/>
      <sheetName val="Parameters"/>
      <sheetName val="Performance"/>
      <sheetName val="MEXICO"/>
      <sheetName val="Hidden"/>
      <sheetName val="Données"/>
      <sheetName val="Data_Tim"/>
      <sheetName val="Parts_BOM"/>
      <sheetName val="Parts_NBOM"/>
      <sheetName val="Legend"/>
      <sheetName val="Multibay Optical"/>
      <sheetName val="2003 Target"/>
      <sheetName val="2003 prod2"/>
      <sheetName val="Valid Values"/>
      <sheetName val="JANｺｰﾄﾞ"/>
      <sheetName val="GPIO Configuration"/>
      <sheetName val="Keyword"/>
      <sheetName val="TEMP"/>
      <sheetName val="标准"/>
      <sheetName val="98종합"/>
      <sheetName val="資料"/>
      <sheetName val="All"/>
      <sheetName val="Sheet2"/>
      <sheetName val="定义表"/>
      <sheetName val="標準工時資料庫"/>
      <sheetName val="TFCSBU01"/>
      <sheetName val="ELEC_QU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</sheetNames>
    <sheetDataSet>
      <sheetData sheetId="0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</sheetNames>
    <sheetDataSet>
      <sheetData sheetId="0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EP Top Risks"/>
      <sheetName val="Master Risk Matrix"/>
      <sheetName val="Risks Realized"/>
      <sheetName val="Risk Codes"/>
      <sheetName val="IPA Exposure"/>
      <sheetName val="OIP Risks"/>
      <sheetName val="Sys Dev Risks"/>
      <sheetName val="TME Risks"/>
      <sheetName val="TDE Risks"/>
      <sheetName val="PVL Risks"/>
      <sheetName val="EST Risks"/>
      <sheetName val="Data lists"/>
      <sheetName val="Source Data"/>
      <sheetName val="Weekly Cases Opened"/>
      <sheetName val="B"/>
      <sheetName val="核銷表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Unicom"/>
      <sheetName val="U8520 Bugs"/>
      <sheetName val="Component一览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9"/>
  <sheetViews>
    <sheetView tabSelected="1" workbookViewId="0">
      <selection activeCell="M9" sqref="M9"/>
    </sheetView>
  </sheetViews>
  <sheetFormatPr baseColWidth="10" defaultColWidth="9" defaultRowHeight="15"/>
  <cols>
    <col min="1" max="1" width="15" style="1" customWidth="1"/>
    <col min="2" max="2" width="35.5" style="1" customWidth="1"/>
    <col min="3" max="3" width="10.33203125" style="1" customWidth="1"/>
    <col min="4" max="4" width="6.1640625" style="1" customWidth="1"/>
    <col min="5" max="6" width="5.6640625" style="1" customWidth="1"/>
    <col min="7" max="7" width="9" style="1" customWidth="1"/>
    <col min="8" max="8" width="10.33203125" style="1" customWidth="1"/>
    <col min="9" max="10" width="5.83203125" style="1" customWidth="1"/>
    <col min="11" max="11" width="6" style="1" customWidth="1"/>
    <col min="12" max="12" width="10.33203125" style="1" customWidth="1"/>
    <col min="13" max="15" width="5.6640625" style="1" customWidth="1"/>
    <col min="16" max="16" width="9.33203125" style="1" customWidth="1"/>
    <col min="17" max="20" width="5.6640625" style="1" customWidth="1"/>
    <col min="21" max="21" width="9.33203125" style="1" customWidth="1"/>
    <col min="22" max="24" width="5.6640625" style="1" customWidth="1"/>
    <col min="25" max="25" width="9.33203125" style="1" customWidth="1"/>
    <col min="26" max="27" width="5.6640625" style="1" customWidth="1"/>
    <col min="28" max="28" width="9.1640625" style="1" customWidth="1"/>
    <col min="29" max="16384" width="9" style="1"/>
  </cols>
  <sheetData>
    <row r="1" spans="1:28" ht="15" customHeight="1">
      <c r="A1" s="2" t="s">
        <v>0</v>
      </c>
      <c r="B1" s="2" t="s">
        <v>1</v>
      </c>
      <c r="C1" s="29">
        <v>46023</v>
      </c>
      <c r="D1" s="30"/>
      <c r="E1" s="30"/>
      <c r="F1" s="31"/>
      <c r="G1" s="32">
        <v>46054</v>
      </c>
      <c r="H1" s="33"/>
      <c r="I1" s="33"/>
      <c r="J1" s="34"/>
      <c r="K1" s="35">
        <v>46082</v>
      </c>
      <c r="L1" s="36"/>
      <c r="M1" s="36"/>
      <c r="N1" s="36"/>
      <c r="O1" s="37"/>
      <c r="P1" s="38">
        <v>46113</v>
      </c>
      <c r="Q1" s="39"/>
      <c r="R1" s="39"/>
      <c r="S1" s="40"/>
      <c r="T1" s="41">
        <v>46143</v>
      </c>
      <c r="U1" s="42"/>
      <c r="V1" s="42"/>
      <c r="W1" s="42"/>
      <c r="X1" s="43"/>
      <c r="Y1" s="26">
        <v>46174</v>
      </c>
      <c r="Z1" s="27"/>
      <c r="AA1" s="27"/>
      <c r="AB1" s="28"/>
    </row>
    <row r="2" spans="1:28">
      <c r="A2" s="3" t="s">
        <v>2</v>
      </c>
      <c r="B2" s="4" t="s">
        <v>3</v>
      </c>
      <c r="C2" s="5">
        <v>46027</v>
      </c>
      <c r="D2" s="5">
        <v>46034</v>
      </c>
      <c r="E2" s="5">
        <v>46041</v>
      </c>
      <c r="F2" s="5">
        <v>46048</v>
      </c>
      <c r="G2" s="5">
        <v>46055</v>
      </c>
      <c r="H2" s="5">
        <v>46062</v>
      </c>
      <c r="I2" s="5">
        <v>46069</v>
      </c>
      <c r="J2" s="6">
        <v>46076</v>
      </c>
      <c r="K2" s="7">
        <v>46083</v>
      </c>
      <c r="L2" s="8">
        <v>46090</v>
      </c>
      <c r="M2" s="5">
        <v>46097</v>
      </c>
      <c r="N2" s="5">
        <v>46104</v>
      </c>
      <c r="O2" s="5">
        <v>46111</v>
      </c>
      <c r="P2" s="5">
        <v>46118</v>
      </c>
      <c r="Q2" s="5">
        <v>46125</v>
      </c>
      <c r="R2" s="5">
        <v>46132</v>
      </c>
      <c r="S2" s="5">
        <v>46139</v>
      </c>
      <c r="T2" s="7">
        <v>46146</v>
      </c>
      <c r="U2" s="8">
        <v>46153</v>
      </c>
      <c r="V2" s="5">
        <v>46160</v>
      </c>
      <c r="W2" s="5">
        <v>46167</v>
      </c>
      <c r="X2" s="5">
        <v>46174</v>
      </c>
      <c r="Y2" s="5">
        <v>46181</v>
      </c>
      <c r="Z2" s="5">
        <v>46188</v>
      </c>
      <c r="AA2" s="5">
        <v>46195</v>
      </c>
      <c r="AB2" s="5">
        <v>46202</v>
      </c>
    </row>
    <row r="3" spans="1:28">
      <c r="A3" s="2" t="s">
        <v>4</v>
      </c>
      <c r="B3" s="9" t="s">
        <v>5</v>
      </c>
      <c r="C3" s="10" t="s">
        <v>6</v>
      </c>
      <c r="D3" s="10" t="s">
        <v>7</v>
      </c>
      <c r="E3" s="10" t="s">
        <v>8</v>
      </c>
      <c r="F3" s="10" t="s">
        <v>9</v>
      </c>
      <c r="G3" s="10" t="s">
        <v>10</v>
      </c>
      <c r="H3" s="10" t="s">
        <v>11</v>
      </c>
      <c r="I3" s="5" t="s">
        <v>12</v>
      </c>
      <c r="J3" s="11" t="s">
        <v>13</v>
      </c>
      <c r="K3" s="7" t="s">
        <v>14</v>
      </c>
      <c r="L3" s="12" t="s">
        <v>15</v>
      </c>
      <c r="M3" s="12" t="s">
        <v>16</v>
      </c>
      <c r="N3" s="12" t="s">
        <v>17</v>
      </c>
      <c r="O3" s="12" t="s">
        <v>18</v>
      </c>
      <c r="P3" s="12" t="s">
        <v>19</v>
      </c>
      <c r="Q3" s="12" t="s">
        <v>20</v>
      </c>
      <c r="R3" s="12" t="s">
        <v>21</v>
      </c>
      <c r="S3" s="12" t="s">
        <v>22</v>
      </c>
      <c r="T3" s="12" t="s">
        <v>23</v>
      </c>
      <c r="U3" s="12" t="s">
        <v>24</v>
      </c>
      <c r="V3" s="12" t="s">
        <v>25</v>
      </c>
      <c r="W3" s="12" t="s">
        <v>26</v>
      </c>
      <c r="X3" s="12" t="s">
        <v>27</v>
      </c>
      <c r="Y3" s="12" t="s">
        <v>28</v>
      </c>
      <c r="Z3" s="12" t="s">
        <v>29</v>
      </c>
      <c r="AA3" s="12" t="s">
        <v>30</v>
      </c>
      <c r="AB3" s="12" t="s">
        <v>31</v>
      </c>
    </row>
    <row r="4" spans="1:28">
      <c r="A4" s="13" t="s">
        <v>32</v>
      </c>
      <c r="B4" s="13" t="s">
        <v>33</v>
      </c>
      <c r="C4" s="14">
        <v>0</v>
      </c>
      <c r="D4" s="14">
        <v>0</v>
      </c>
      <c r="E4" s="14">
        <v>6</v>
      </c>
      <c r="F4" s="14">
        <v>5</v>
      </c>
      <c r="G4" s="14">
        <v>5</v>
      </c>
      <c r="H4" s="14">
        <v>4</v>
      </c>
      <c r="I4" s="14">
        <v>0</v>
      </c>
      <c r="J4" s="14">
        <v>3</v>
      </c>
      <c r="K4" s="14">
        <v>2</v>
      </c>
      <c r="L4" s="14">
        <v>1</v>
      </c>
      <c r="M4" s="14">
        <v>0</v>
      </c>
      <c r="N4" s="14">
        <v>0</v>
      </c>
      <c r="O4" s="14">
        <v>0</v>
      </c>
      <c r="P4" s="14">
        <v>0</v>
      </c>
      <c r="Q4" s="14">
        <v>0</v>
      </c>
      <c r="R4" s="14">
        <v>1</v>
      </c>
      <c r="S4" s="14">
        <v>0</v>
      </c>
      <c r="T4" s="14">
        <v>0</v>
      </c>
      <c r="U4" s="14">
        <v>1</v>
      </c>
      <c r="V4" s="14">
        <v>0</v>
      </c>
      <c r="W4" s="14">
        <v>0</v>
      </c>
      <c r="X4" s="14">
        <v>0</v>
      </c>
      <c r="Y4" s="14">
        <v>0</v>
      </c>
      <c r="Z4" s="14">
        <v>0</v>
      </c>
      <c r="AA4" s="14">
        <v>0</v>
      </c>
      <c r="AB4" s="14">
        <v>0</v>
      </c>
    </row>
    <row r="5" spans="1:28">
      <c r="A5" s="13" t="s">
        <v>32</v>
      </c>
      <c r="B5" s="13" t="s">
        <v>34</v>
      </c>
      <c r="C5" s="14">
        <v>0</v>
      </c>
      <c r="D5" s="14">
        <v>0</v>
      </c>
      <c r="E5" s="14">
        <v>4</v>
      </c>
      <c r="F5" s="14">
        <v>75</v>
      </c>
      <c r="G5" s="14">
        <v>84</v>
      </c>
      <c r="H5" s="14">
        <v>77</v>
      </c>
      <c r="I5" s="14">
        <v>0</v>
      </c>
      <c r="J5" s="14">
        <v>64</v>
      </c>
      <c r="K5" s="14">
        <v>52</v>
      </c>
      <c r="L5" s="14">
        <v>38</v>
      </c>
      <c r="M5" s="14">
        <v>19</v>
      </c>
      <c r="N5" s="14">
        <v>15</v>
      </c>
      <c r="O5" s="14">
        <v>11</v>
      </c>
      <c r="P5" s="14">
        <v>5</v>
      </c>
      <c r="Q5" s="14">
        <v>4</v>
      </c>
      <c r="R5" s="14">
        <v>2</v>
      </c>
      <c r="S5" s="14">
        <v>2</v>
      </c>
      <c r="T5" s="14">
        <v>1</v>
      </c>
      <c r="U5" s="14">
        <v>1</v>
      </c>
      <c r="V5" s="14">
        <v>1</v>
      </c>
      <c r="W5" s="14">
        <v>0</v>
      </c>
      <c r="X5" s="14">
        <v>0</v>
      </c>
      <c r="Y5" s="14">
        <v>0</v>
      </c>
      <c r="Z5" s="14">
        <v>0</v>
      </c>
      <c r="AA5" s="14">
        <v>0</v>
      </c>
      <c r="AB5" s="14">
        <v>0</v>
      </c>
    </row>
    <row r="6" spans="1:28">
      <c r="A6" s="13" t="s">
        <v>32</v>
      </c>
      <c r="B6" s="13" t="s">
        <v>35</v>
      </c>
      <c r="C6" s="14">
        <v>0</v>
      </c>
      <c r="D6" s="14">
        <v>0</v>
      </c>
      <c r="E6" s="14">
        <v>2</v>
      </c>
      <c r="F6" s="14">
        <v>5</v>
      </c>
      <c r="G6" s="14">
        <v>8</v>
      </c>
      <c r="H6" s="14">
        <v>6</v>
      </c>
      <c r="I6" s="14">
        <v>0</v>
      </c>
      <c r="J6" s="14">
        <v>4</v>
      </c>
      <c r="K6" s="14">
        <v>2</v>
      </c>
      <c r="L6" s="14">
        <v>2</v>
      </c>
      <c r="M6" s="14">
        <v>1</v>
      </c>
      <c r="N6" s="14">
        <v>1</v>
      </c>
      <c r="O6" s="14">
        <v>0</v>
      </c>
      <c r="P6" s="14">
        <v>0</v>
      </c>
      <c r="Q6" s="14">
        <v>0</v>
      </c>
      <c r="R6" s="14">
        <v>0</v>
      </c>
      <c r="S6" s="14">
        <v>0</v>
      </c>
      <c r="T6" s="14">
        <v>0</v>
      </c>
      <c r="U6" s="14">
        <v>0</v>
      </c>
      <c r="V6" s="14">
        <v>0</v>
      </c>
      <c r="W6" s="14">
        <v>0</v>
      </c>
      <c r="X6" s="14">
        <v>0</v>
      </c>
      <c r="Y6" s="14">
        <v>0</v>
      </c>
      <c r="Z6" s="14">
        <v>0</v>
      </c>
      <c r="AA6" s="14">
        <v>0</v>
      </c>
      <c r="AB6" s="14">
        <v>0</v>
      </c>
    </row>
    <row r="7" spans="1:28">
      <c r="A7" s="13" t="s">
        <v>32</v>
      </c>
      <c r="B7" s="15" t="s">
        <v>36</v>
      </c>
      <c r="C7" s="14">
        <v>0</v>
      </c>
      <c r="D7" s="14">
        <v>0</v>
      </c>
      <c r="E7" s="14">
        <v>3</v>
      </c>
      <c r="F7" s="14">
        <v>32</v>
      </c>
      <c r="G7" s="14">
        <v>42</v>
      </c>
      <c r="H7" s="14">
        <v>36</v>
      </c>
      <c r="I7" s="14">
        <v>0</v>
      </c>
      <c r="J7" s="14">
        <v>7</v>
      </c>
      <c r="K7" s="14">
        <v>6</v>
      </c>
      <c r="L7" s="14">
        <v>3</v>
      </c>
      <c r="M7" s="14">
        <v>2</v>
      </c>
      <c r="N7" s="14">
        <v>0</v>
      </c>
      <c r="O7" s="14">
        <v>0</v>
      </c>
      <c r="P7" s="14">
        <v>0</v>
      </c>
      <c r="Q7" s="14">
        <v>0</v>
      </c>
      <c r="R7" s="14">
        <v>0</v>
      </c>
      <c r="S7" s="14">
        <v>0</v>
      </c>
      <c r="T7" s="14">
        <v>0</v>
      </c>
      <c r="U7" s="14">
        <v>0</v>
      </c>
      <c r="V7" s="14">
        <v>0</v>
      </c>
      <c r="W7" s="14">
        <v>0</v>
      </c>
      <c r="X7" s="14">
        <v>0</v>
      </c>
      <c r="Y7" s="14">
        <v>0</v>
      </c>
      <c r="Z7" s="14">
        <v>0</v>
      </c>
      <c r="AA7" s="14">
        <v>0</v>
      </c>
      <c r="AB7" s="14">
        <v>0</v>
      </c>
    </row>
    <row r="8" spans="1:28">
      <c r="A8" s="13" t="s">
        <v>32</v>
      </c>
      <c r="B8" s="13" t="s">
        <v>37</v>
      </c>
      <c r="C8" s="14">
        <v>0</v>
      </c>
      <c r="D8" s="14">
        <v>0</v>
      </c>
      <c r="E8" s="14">
        <v>0</v>
      </c>
      <c r="F8" s="14">
        <v>0</v>
      </c>
      <c r="G8" s="14">
        <v>22</v>
      </c>
      <c r="H8" s="14">
        <v>26</v>
      </c>
      <c r="I8" s="14">
        <v>0</v>
      </c>
      <c r="J8" s="14">
        <v>4</v>
      </c>
      <c r="K8" s="14">
        <v>1</v>
      </c>
      <c r="L8" s="14">
        <v>1</v>
      </c>
      <c r="M8" s="14">
        <v>0</v>
      </c>
      <c r="N8" s="14">
        <v>0</v>
      </c>
      <c r="O8" s="14">
        <v>0</v>
      </c>
      <c r="P8" s="14">
        <v>0</v>
      </c>
      <c r="Q8" s="14">
        <v>0</v>
      </c>
      <c r="R8" s="14">
        <v>0</v>
      </c>
      <c r="S8" s="14">
        <v>0</v>
      </c>
      <c r="T8" s="14">
        <v>0</v>
      </c>
      <c r="U8" s="14">
        <v>0</v>
      </c>
      <c r="V8" s="14">
        <v>0</v>
      </c>
      <c r="W8" s="14">
        <v>0</v>
      </c>
      <c r="X8" s="14">
        <v>0</v>
      </c>
      <c r="Y8" s="14">
        <v>0</v>
      </c>
      <c r="Z8" s="14">
        <v>0</v>
      </c>
      <c r="AA8" s="14">
        <v>0</v>
      </c>
      <c r="AB8" s="14">
        <v>0</v>
      </c>
    </row>
    <row r="9" spans="1:28">
      <c r="A9" s="13" t="s">
        <v>32</v>
      </c>
      <c r="B9" s="13" t="s">
        <v>38</v>
      </c>
      <c r="C9" s="14">
        <v>0</v>
      </c>
      <c r="D9" s="14">
        <v>2</v>
      </c>
      <c r="E9" s="14">
        <v>5</v>
      </c>
      <c r="F9" s="14">
        <v>41</v>
      </c>
      <c r="G9" s="14">
        <v>58</v>
      </c>
      <c r="H9" s="14">
        <v>56</v>
      </c>
      <c r="I9" s="14">
        <v>35</v>
      </c>
      <c r="J9" s="14">
        <v>37</v>
      </c>
      <c r="K9" s="14">
        <v>21</v>
      </c>
      <c r="L9" s="14">
        <v>10</v>
      </c>
      <c r="M9" s="14">
        <v>5</v>
      </c>
      <c r="N9" s="14">
        <v>1</v>
      </c>
      <c r="O9" s="14">
        <v>1</v>
      </c>
      <c r="P9" s="14">
        <v>1</v>
      </c>
      <c r="Q9" s="14">
        <v>1</v>
      </c>
      <c r="R9" s="14">
        <v>1</v>
      </c>
      <c r="S9" s="14">
        <v>0</v>
      </c>
      <c r="T9" s="14">
        <v>0</v>
      </c>
      <c r="U9" s="14">
        <v>0</v>
      </c>
      <c r="V9" s="14">
        <v>0</v>
      </c>
      <c r="W9" s="14">
        <v>0</v>
      </c>
      <c r="X9" s="14">
        <v>0</v>
      </c>
      <c r="Y9" s="14">
        <v>0</v>
      </c>
      <c r="Z9" s="14">
        <v>0</v>
      </c>
      <c r="AA9" s="14">
        <v>0</v>
      </c>
      <c r="AB9" s="14">
        <v>0</v>
      </c>
    </row>
    <row r="10" spans="1:28">
      <c r="A10" s="13" t="s">
        <v>32</v>
      </c>
      <c r="B10" s="13" t="s">
        <v>39</v>
      </c>
      <c r="C10" s="14">
        <v>0</v>
      </c>
      <c r="D10" s="14">
        <v>0</v>
      </c>
      <c r="E10" s="14">
        <v>1</v>
      </c>
      <c r="F10" s="14">
        <v>0</v>
      </c>
      <c r="G10" s="14">
        <v>0</v>
      </c>
      <c r="H10" s="14">
        <v>0</v>
      </c>
      <c r="I10" s="14">
        <v>0</v>
      </c>
      <c r="J10" s="14">
        <v>1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1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</row>
    <row r="11" spans="1:28">
      <c r="A11" s="13" t="s">
        <v>32</v>
      </c>
      <c r="B11" s="13" t="s">
        <v>40</v>
      </c>
      <c r="C11" s="14">
        <v>0</v>
      </c>
      <c r="D11" s="14">
        <v>0</v>
      </c>
      <c r="E11" s="14">
        <v>0</v>
      </c>
      <c r="F11" s="14">
        <v>0</v>
      </c>
      <c r="G11" s="14">
        <v>1</v>
      </c>
      <c r="H11" s="14">
        <v>1</v>
      </c>
      <c r="I11" s="14">
        <v>0</v>
      </c>
      <c r="J11" s="14">
        <v>1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4">
        <v>0</v>
      </c>
      <c r="Y11" s="14">
        <v>0</v>
      </c>
      <c r="Z11" s="14">
        <v>0</v>
      </c>
      <c r="AA11" s="14">
        <v>0</v>
      </c>
      <c r="AB11" s="14">
        <v>0</v>
      </c>
    </row>
    <row r="12" spans="1:28">
      <c r="A12" s="16" t="s">
        <v>32</v>
      </c>
      <c r="B12" s="17" t="s">
        <v>41</v>
      </c>
      <c r="C12" s="18">
        <f>SUM(C3:C11)</f>
        <v>0</v>
      </c>
      <c r="D12" s="18">
        <f>SUM(D3:D11)</f>
        <v>2</v>
      </c>
      <c r="E12" s="18">
        <f>SUM(E3:E11)</f>
        <v>21</v>
      </c>
      <c r="F12" s="18">
        <f>SUM(F3:F10)</f>
        <v>158</v>
      </c>
      <c r="G12" s="18">
        <f t="shared" ref="G12:AB12" si="0">SUM(G3:G11)</f>
        <v>220</v>
      </c>
      <c r="H12" s="18">
        <f t="shared" si="0"/>
        <v>206</v>
      </c>
      <c r="I12" s="18">
        <f t="shared" si="0"/>
        <v>35</v>
      </c>
      <c r="J12" s="18">
        <f t="shared" si="0"/>
        <v>121</v>
      </c>
      <c r="K12" s="18">
        <f t="shared" si="0"/>
        <v>84</v>
      </c>
      <c r="L12" s="18">
        <f t="shared" si="0"/>
        <v>55</v>
      </c>
      <c r="M12" s="18">
        <f t="shared" si="0"/>
        <v>27</v>
      </c>
      <c r="N12" s="18">
        <f t="shared" si="0"/>
        <v>17</v>
      </c>
      <c r="O12" s="18">
        <f t="shared" si="0"/>
        <v>12</v>
      </c>
      <c r="P12" s="18">
        <f t="shared" si="0"/>
        <v>7</v>
      </c>
      <c r="Q12" s="18">
        <f t="shared" si="0"/>
        <v>5</v>
      </c>
      <c r="R12" s="18">
        <f t="shared" si="0"/>
        <v>4</v>
      </c>
      <c r="S12" s="18">
        <f t="shared" si="0"/>
        <v>2</v>
      </c>
      <c r="T12" s="18">
        <f t="shared" si="0"/>
        <v>1</v>
      </c>
      <c r="U12" s="18">
        <f t="shared" si="0"/>
        <v>2</v>
      </c>
      <c r="V12" s="18">
        <f t="shared" si="0"/>
        <v>1</v>
      </c>
      <c r="W12" s="18">
        <f t="shared" si="0"/>
        <v>0</v>
      </c>
      <c r="X12" s="18">
        <f t="shared" si="0"/>
        <v>0</v>
      </c>
      <c r="Y12" s="18">
        <f t="shared" si="0"/>
        <v>0</v>
      </c>
      <c r="Z12" s="18">
        <f t="shared" si="0"/>
        <v>0</v>
      </c>
      <c r="AA12" s="18">
        <f t="shared" si="0"/>
        <v>0</v>
      </c>
      <c r="AB12" s="18">
        <f t="shared" si="0"/>
        <v>0</v>
      </c>
    </row>
    <row r="13" spans="1:28">
      <c r="A13" s="19" t="s">
        <v>32</v>
      </c>
      <c r="B13" s="19" t="s">
        <v>42</v>
      </c>
      <c r="C13" s="20">
        <f>C12</f>
        <v>0</v>
      </c>
      <c r="D13" s="20">
        <f>C13+D12</f>
        <v>2</v>
      </c>
      <c r="E13" s="20">
        <f>D13+E12</f>
        <v>23</v>
      </c>
      <c r="F13" s="20">
        <f t="shared" ref="F13:U13" si="1">E13+F12</f>
        <v>181</v>
      </c>
      <c r="G13" s="20">
        <f t="shared" si="1"/>
        <v>401</v>
      </c>
      <c r="H13" s="20">
        <f t="shared" si="1"/>
        <v>607</v>
      </c>
      <c r="I13" s="20">
        <f t="shared" si="1"/>
        <v>642</v>
      </c>
      <c r="J13" s="20">
        <f t="shared" si="1"/>
        <v>763</v>
      </c>
      <c r="K13" s="20">
        <f t="shared" si="1"/>
        <v>847</v>
      </c>
      <c r="L13" s="20">
        <f t="shared" si="1"/>
        <v>902</v>
      </c>
      <c r="M13" s="20">
        <f t="shared" si="1"/>
        <v>929</v>
      </c>
      <c r="N13" s="20">
        <f t="shared" si="1"/>
        <v>946</v>
      </c>
      <c r="O13" s="21">
        <f t="shared" si="1"/>
        <v>958</v>
      </c>
      <c r="P13" s="20">
        <f t="shared" si="1"/>
        <v>965</v>
      </c>
      <c r="Q13" s="21">
        <f t="shared" si="1"/>
        <v>970</v>
      </c>
      <c r="R13" s="21">
        <f t="shared" si="1"/>
        <v>974</v>
      </c>
      <c r="S13" s="20">
        <f t="shared" si="1"/>
        <v>976</v>
      </c>
      <c r="T13" s="20">
        <f t="shared" si="1"/>
        <v>977</v>
      </c>
      <c r="U13" s="20">
        <f t="shared" si="1"/>
        <v>979</v>
      </c>
      <c r="V13" s="20">
        <f t="shared" ref="V13" si="2">U13+V12</f>
        <v>980</v>
      </c>
      <c r="W13" s="20">
        <f t="shared" ref="W13" si="3">V13+W12</f>
        <v>980</v>
      </c>
      <c r="X13" s="20">
        <f t="shared" ref="X13" si="4">W13+X12</f>
        <v>980</v>
      </c>
      <c r="Y13" s="20">
        <f t="shared" ref="Y13" si="5">X13+Y12</f>
        <v>980</v>
      </c>
      <c r="Z13" s="20">
        <f t="shared" ref="Z13" si="6">Y13+Z12</f>
        <v>980</v>
      </c>
      <c r="AA13" s="20">
        <f t="shared" ref="AA13" si="7">Z13+AA12</f>
        <v>980</v>
      </c>
      <c r="AB13" s="20">
        <f t="shared" ref="AB13" si="8">AA13+AB12</f>
        <v>980</v>
      </c>
    </row>
    <row r="14" spans="1:28">
      <c r="A14" s="13" t="s">
        <v>43</v>
      </c>
      <c r="B14" s="13" t="s">
        <v>44</v>
      </c>
      <c r="C14" s="22">
        <v>0</v>
      </c>
      <c r="D14" s="22">
        <v>0</v>
      </c>
      <c r="E14" s="22">
        <v>1</v>
      </c>
      <c r="F14" s="22">
        <v>8</v>
      </c>
      <c r="G14" s="22">
        <v>12</v>
      </c>
      <c r="H14" s="22">
        <v>23</v>
      </c>
      <c r="I14" s="14">
        <v>3</v>
      </c>
      <c r="J14" s="22">
        <v>28</v>
      </c>
      <c r="K14" s="22">
        <v>20</v>
      </c>
      <c r="L14" s="22">
        <v>15</v>
      </c>
      <c r="M14" s="22">
        <v>13</v>
      </c>
      <c r="N14" s="22">
        <v>8</v>
      </c>
      <c r="O14" s="22">
        <v>2</v>
      </c>
      <c r="P14" s="22">
        <v>1</v>
      </c>
      <c r="Q14" s="22">
        <v>1</v>
      </c>
      <c r="R14" s="22">
        <v>1</v>
      </c>
      <c r="S14" s="22">
        <v>1</v>
      </c>
      <c r="T14" s="22">
        <v>1</v>
      </c>
      <c r="U14" s="22">
        <v>1</v>
      </c>
      <c r="V14" s="22">
        <v>1</v>
      </c>
      <c r="W14" s="22">
        <v>0</v>
      </c>
      <c r="X14" s="22">
        <v>0</v>
      </c>
      <c r="Y14" s="22">
        <v>0</v>
      </c>
      <c r="Z14" s="22">
        <v>0</v>
      </c>
      <c r="AA14" s="22">
        <v>0</v>
      </c>
      <c r="AB14" s="22">
        <v>0</v>
      </c>
    </row>
    <row r="15" spans="1:28">
      <c r="A15" s="13" t="s">
        <v>43</v>
      </c>
      <c r="B15" s="13" t="s">
        <v>45</v>
      </c>
      <c r="C15" s="22">
        <v>0</v>
      </c>
      <c r="D15" s="22">
        <v>0</v>
      </c>
      <c r="E15" s="22">
        <v>1</v>
      </c>
      <c r="F15" s="22">
        <v>8</v>
      </c>
      <c r="G15" s="22">
        <v>12</v>
      </c>
      <c r="H15" s="22">
        <v>15</v>
      </c>
      <c r="I15" s="14">
        <v>0</v>
      </c>
      <c r="J15" s="22">
        <v>19</v>
      </c>
      <c r="K15" s="22">
        <v>13</v>
      </c>
      <c r="L15" s="22">
        <v>6</v>
      </c>
      <c r="M15" s="22">
        <v>4</v>
      </c>
      <c r="N15" s="22">
        <v>3</v>
      </c>
      <c r="O15" s="22">
        <v>1</v>
      </c>
      <c r="P15" s="22">
        <v>1</v>
      </c>
      <c r="Q15" s="22">
        <v>0</v>
      </c>
      <c r="R15" s="22">
        <v>0</v>
      </c>
      <c r="S15" s="22">
        <v>0</v>
      </c>
      <c r="T15" s="22">
        <v>0</v>
      </c>
      <c r="U15" s="22">
        <v>0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0</v>
      </c>
      <c r="AB15" s="22">
        <v>0</v>
      </c>
    </row>
    <row r="16" spans="1:28">
      <c r="A16" s="13" t="s">
        <v>43</v>
      </c>
      <c r="B16" s="13" t="s">
        <v>46</v>
      </c>
      <c r="C16" s="22">
        <v>0</v>
      </c>
      <c r="D16" s="22">
        <v>0</v>
      </c>
      <c r="E16" s="22">
        <v>1</v>
      </c>
      <c r="F16" s="22">
        <v>8</v>
      </c>
      <c r="G16" s="22">
        <v>12</v>
      </c>
      <c r="H16" s="22">
        <v>23</v>
      </c>
      <c r="I16" s="14">
        <v>0</v>
      </c>
      <c r="J16" s="22">
        <v>28</v>
      </c>
      <c r="K16" s="22">
        <v>20</v>
      </c>
      <c r="L16" s="22">
        <v>20</v>
      </c>
      <c r="M16" s="22">
        <v>17</v>
      </c>
      <c r="N16" s="22">
        <v>10</v>
      </c>
      <c r="O16" s="22">
        <v>3</v>
      </c>
      <c r="P16" s="22">
        <v>1</v>
      </c>
      <c r="Q16" s="22">
        <v>1</v>
      </c>
      <c r="R16" s="22">
        <v>1</v>
      </c>
      <c r="S16" s="22">
        <v>1</v>
      </c>
      <c r="T16" s="22">
        <v>1</v>
      </c>
      <c r="U16" s="22">
        <v>1</v>
      </c>
      <c r="V16" s="22">
        <v>1</v>
      </c>
      <c r="W16" s="22">
        <v>1</v>
      </c>
      <c r="X16" s="22">
        <v>0</v>
      </c>
      <c r="Y16" s="22">
        <v>0</v>
      </c>
      <c r="Z16" s="22">
        <v>0</v>
      </c>
      <c r="AA16" s="22">
        <v>0</v>
      </c>
      <c r="AB16" s="22">
        <v>0</v>
      </c>
    </row>
    <row r="17" spans="1:28">
      <c r="A17" s="13" t="s">
        <v>43</v>
      </c>
      <c r="B17" s="13" t="s">
        <v>47</v>
      </c>
      <c r="C17" s="22">
        <v>0</v>
      </c>
      <c r="D17" s="22">
        <v>0</v>
      </c>
      <c r="E17" s="22">
        <v>2</v>
      </c>
      <c r="F17" s="22">
        <v>16</v>
      </c>
      <c r="G17" s="22">
        <v>22</v>
      </c>
      <c r="H17" s="22">
        <v>23</v>
      </c>
      <c r="I17" s="14">
        <v>0</v>
      </c>
      <c r="J17" s="22">
        <v>28</v>
      </c>
      <c r="K17" s="22">
        <v>20</v>
      </c>
      <c r="L17" s="22">
        <v>20</v>
      </c>
      <c r="M17" s="22">
        <v>17</v>
      </c>
      <c r="N17" s="22">
        <v>11</v>
      </c>
      <c r="O17" s="22">
        <v>3</v>
      </c>
      <c r="P17" s="22">
        <v>1</v>
      </c>
      <c r="Q17" s="22">
        <v>1</v>
      </c>
      <c r="R17" s="22">
        <v>1</v>
      </c>
      <c r="S17" s="22">
        <v>1</v>
      </c>
      <c r="T17" s="22">
        <v>1</v>
      </c>
      <c r="U17" s="22">
        <v>1</v>
      </c>
      <c r="V17" s="22">
        <v>1</v>
      </c>
      <c r="W17" s="22">
        <v>0</v>
      </c>
      <c r="X17" s="22">
        <v>0</v>
      </c>
      <c r="Y17" s="22">
        <v>0</v>
      </c>
      <c r="Z17" s="22">
        <v>0</v>
      </c>
      <c r="AA17" s="22">
        <v>0</v>
      </c>
      <c r="AB17" s="22">
        <v>0</v>
      </c>
    </row>
    <row r="18" spans="1:28">
      <c r="A18" s="13" t="s">
        <v>43</v>
      </c>
      <c r="B18" s="13" t="s">
        <v>48</v>
      </c>
      <c r="C18" s="22">
        <v>0</v>
      </c>
      <c r="D18" s="22">
        <v>0</v>
      </c>
      <c r="E18" s="22">
        <v>3</v>
      </c>
      <c r="F18" s="22">
        <v>23</v>
      </c>
      <c r="G18" s="22">
        <v>34</v>
      </c>
      <c r="H18" s="22">
        <v>30</v>
      </c>
      <c r="I18" s="14">
        <v>0</v>
      </c>
      <c r="J18" s="22">
        <v>37</v>
      </c>
      <c r="K18" s="22">
        <v>26</v>
      </c>
      <c r="L18" s="22">
        <v>15</v>
      </c>
      <c r="M18" s="22">
        <v>13</v>
      </c>
      <c r="N18" s="22">
        <v>8</v>
      </c>
      <c r="O18" s="22">
        <v>2</v>
      </c>
      <c r="P18" s="22">
        <v>1</v>
      </c>
      <c r="Q18" s="22">
        <v>1</v>
      </c>
      <c r="R18" s="22">
        <v>1</v>
      </c>
      <c r="S18" s="22">
        <v>1</v>
      </c>
      <c r="T18" s="22">
        <v>1</v>
      </c>
      <c r="U18" s="22">
        <v>1</v>
      </c>
      <c r="V18" s="22">
        <v>0</v>
      </c>
      <c r="W18" s="22">
        <v>0</v>
      </c>
      <c r="X18" s="22">
        <v>0</v>
      </c>
      <c r="Y18" s="22">
        <v>0</v>
      </c>
      <c r="Z18" s="22">
        <v>0</v>
      </c>
      <c r="AA18" s="22">
        <v>0</v>
      </c>
      <c r="AB18" s="22">
        <v>0</v>
      </c>
    </row>
    <row r="19" spans="1:28">
      <c r="A19" s="13" t="s">
        <v>43</v>
      </c>
      <c r="B19" s="13" t="s">
        <v>49</v>
      </c>
      <c r="C19" s="22">
        <v>0</v>
      </c>
      <c r="D19" s="22">
        <v>0</v>
      </c>
      <c r="E19" s="22">
        <v>2</v>
      </c>
      <c r="F19" s="22">
        <v>15</v>
      </c>
      <c r="G19" s="22">
        <v>23</v>
      </c>
      <c r="H19" s="22">
        <v>15</v>
      </c>
      <c r="I19" s="14">
        <v>0</v>
      </c>
      <c r="J19" s="22">
        <v>19</v>
      </c>
      <c r="K19" s="22">
        <v>13</v>
      </c>
      <c r="L19" s="22">
        <v>10</v>
      </c>
      <c r="M19" s="22">
        <v>9</v>
      </c>
      <c r="N19" s="22">
        <v>5</v>
      </c>
      <c r="O19" s="22">
        <v>2</v>
      </c>
      <c r="P19" s="22">
        <v>1</v>
      </c>
      <c r="Q19" s="22">
        <v>1</v>
      </c>
      <c r="R19" s="22">
        <v>1</v>
      </c>
      <c r="S19" s="22">
        <v>1</v>
      </c>
      <c r="T19" s="22">
        <v>1</v>
      </c>
      <c r="U19" s="22">
        <v>1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0</v>
      </c>
      <c r="AB19" s="22">
        <v>0</v>
      </c>
    </row>
    <row r="20" spans="1:28">
      <c r="A20" s="13" t="s">
        <v>43</v>
      </c>
      <c r="B20" s="13" t="s">
        <v>50</v>
      </c>
      <c r="C20" s="22">
        <v>0</v>
      </c>
      <c r="D20" s="22">
        <v>0</v>
      </c>
      <c r="E20" s="22">
        <v>0</v>
      </c>
      <c r="F20" s="22">
        <v>0</v>
      </c>
      <c r="G20" s="23">
        <v>0</v>
      </c>
      <c r="H20" s="23">
        <v>0</v>
      </c>
      <c r="I20" s="14">
        <v>0</v>
      </c>
      <c r="J20" s="23">
        <v>0</v>
      </c>
      <c r="K20" s="23">
        <v>0</v>
      </c>
      <c r="L20" s="23">
        <v>0</v>
      </c>
      <c r="M20" s="23">
        <v>0</v>
      </c>
      <c r="N20" s="23">
        <v>0</v>
      </c>
      <c r="O20" s="23">
        <v>0</v>
      </c>
      <c r="P20" s="23">
        <v>0</v>
      </c>
      <c r="Q20" s="23">
        <v>0</v>
      </c>
      <c r="R20" s="23">
        <v>0</v>
      </c>
      <c r="S20" s="23">
        <v>0</v>
      </c>
      <c r="T20" s="23">
        <v>0</v>
      </c>
      <c r="U20" s="23">
        <v>0</v>
      </c>
      <c r="V20" s="23">
        <v>0</v>
      </c>
      <c r="W20" s="23">
        <v>0</v>
      </c>
      <c r="X20" s="23">
        <v>0</v>
      </c>
      <c r="Y20" s="23">
        <v>0</v>
      </c>
      <c r="Z20" s="23">
        <v>0</v>
      </c>
      <c r="AA20" s="23">
        <v>0</v>
      </c>
      <c r="AB20" s="23">
        <v>0</v>
      </c>
    </row>
    <row r="21" spans="1:28">
      <c r="A21" s="13" t="s">
        <v>43</v>
      </c>
      <c r="B21" s="13" t="s">
        <v>51</v>
      </c>
      <c r="C21" s="22">
        <v>0</v>
      </c>
      <c r="D21" s="22">
        <v>0</v>
      </c>
      <c r="E21" s="22">
        <v>0</v>
      </c>
      <c r="F21" s="22">
        <v>0</v>
      </c>
      <c r="G21" s="23">
        <v>0</v>
      </c>
      <c r="H21" s="22">
        <v>8</v>
      </c>
      <c r="I21" s="14">
        <v>0</v>
      </c>
      <c r="J21" s="22">
        <v>9</v>
      </c>
      <c r="K21" s="22">
        <v>7</v>
      </c>
      <c r="L21" s="22">
        <v>10</v>
      </c>
      <c r="M21" s="22">
        <v>9</v>
      </c>
      <c r="N21" s="22">
        <v>5</v>
      </c>
      <c r="O21" s="22">
        <v>1</v>
      </c>
      <c r="P21" s="22">
        <v>1</v>
      </c>
      <c r="Q21" s="22">
        <v>1</v>
      </c>
      <c r="R21" s="22">
        <v>1</v>
      </c>
      <c r="S21" s="22">
        <v>1</v>
      </c>
      <c r="T21" s="22">
        <v>0</v>
      </c>
      <c r="U21" s="22">
        <v>0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0</v>
      </c>
    </row>
    <row r="22" spans="1:28">
      <c r="A22" s="13" t="s">
        <v>43</v>
      </c>
      <c r="B22" s="13" t="s">
        <v>52</v>
      </c>
      <c r="C22" s="22">
        <v>0</v>
      </c>
      <c r="D22" s="22">
        <v>0</v>
      </c>
      <c r="E22" s="22">
        <v>0</v>
      </c>
      <c r="F22" s="22">
        <v>0</v>
      </c>
      <c r="G22" s="22">
        <v>0</v>
      </c>
      <c r="H22" s="22">
        <v>15</v>
      </c>
      <c r="I22" s="14">
        <v>0</v>
      </c>
      <c r="J22" s="22">
        <v>19</v>
      </c>
      <c r="K22" s="22">
        <v>13</v>
      </c>
      <c r="L22" s="22">
        <v>5</v>
      </c>
      <c r="M22" s="22">
        <v>4</v>
      </c>
      <c r="N22" s="22">
        <v>3</v>
      </c>
      <c r="O22" s="22">
        <v>1</v>
      </c>
      <c r="P22" s="22">
        <v>0</v>
      </c>
      <c r="Q22" s="22">
        <v>0</v>
      </c>
      <c r="R22" s="22">
        <v>0</v>
      </c>
      <c r="S22" s="22">
        <v>0</v>
      </c>
      <c r="T22" s="22">
        <v>0</v>
      </c>
      <c r="U22" s="22">
        <v>0</v>
      </c>
      <c r="V22" s="22">
        <v>0</v>
      </c>
      <c r="W22" s="22">
        <v>0</v>
      </c>
      <c r="X22" s="22">
        <v>0</v>
      </c>
      <c r="Y22" s="22">
        <v>0</v>
      </c>
      <c r="Z22" s="22">
        <v>0</v>
      </c>
      <c r="AA22" s="22">
        <v>0</v>
      </c>
      <c r="AB22" s="22">
        <v>0</v>
      </c>
    </row>
    <row r="23" spans="1:28">
      <c r="A23" s="16" t="s">
        <v>43</v>
      </c>
      <c r="B23" s="17" t="s">
        <v>53</v>
      </c>
      <c r="C23" s="24">
        <v>0</v>
      </c>
      <c r="D23" s="24">
        <v>0</v>
      </c>
      <c r="E23" s="24">
        <f>SUM(E14:E22)</f>
        <v>10</v>
      </c>
      <c r="F23" s="24">
        <f t="shared" ref="F23:AB23" si="9">SUM(F14:F22)</f>
        <v>78</v>
      </c>
      <c r="G23" s="24">
        <f t="shared" si="9"/>
        <v>115</v>
      </c>
      <c r="H23" s="24">
        <f t="shared" si="9"/>
        <v>152</v>
      </c>
      <c r="I23" s="24">
        <f t="shared" si="9"/>
        <v>3</v>
      </c>
      <c r="J23" s="24">
        <f t="shared" si="9"/>
        <v>187</v>
      </c>
      <c r="K23" s="24">
        <f t="shared" si="9"/>
        <v>132</v>
      </c>
      <c r="L23" s="24">
        <f t="shared" si="9"/>
        <v>101</v>
      </c>
      <c r="M23" s="24">
        <f t="shared" si="9"/>
        <v>86</v>
      </c>
      <c r="N23" s="24">
        <f t="shared" si="9"/>
        <v>53</v>
      </c>
      <c r="O23" s="24">
        <f t="shared" si="9"/>
        <v>15</v>
      </c>
      <c r="P23" s="24">
        <f t="shared" si="9"/>
        <v>7</v>
      </c>
      <c r="Q23" s="24">
        <f t="shared" si="9"/>
        <v>6</v>
      </c>
      <c r="R23" s="24">
        <f t="shared" si="9"/>
        <v>6</v>
      </c>
      <c r="S23" s="24">
        <f t="shared" si="9"/>
        <v>6</v>
      </c>
      <c r="T23" s="24">
        <f t="shared" si="9"/>
        <v>5</v>
      </c>
      <c r="U23" s="24">
        <f t="shared" si="9"/>
        <v>5</v>
      </c>
      <c r="V23" s="24">
        <f t="shared" si="9"/>
        <v>3</v>
      </c>
      <c r="W23" s="24">
        <f t="shared" si="9"/>
        <v>1</v>
      </c>
      <c r="X23" s="24">
        <f t="shared" si="9"/>
        <v>0</v>
      </c>
      <c r="Y23" s="24">
        <f t="shared" si="9"/>
        <v>0</v>
      </c>
      <c r="Z23" s="24">
        <f t="shared" si="9"/>
        <v>0</v>
      </c>
      <c r="AA23" s="24">
        <f t="shared" si="9"/>
        <v>0</v>
      </c>
      <c r="AB23" s="24">
        <f t="shared" si="9"/>
        <v>0</v>
      </c>
    </row>
    <row r="24" spans="1:28">
      <c r="A24" s="19" t="s">
        <v>43</v>
      </c>
      <c r="B24" s="19" t="s">
        <v>54</v>
      </c>
      <c r="C24" s="25">
        <v>0</v>
      </c>
      <c r="D24" s="25">
        <f>D23</f>
        <v>0</v>
      </c>
      <c r="E24" s="25">
        <f>D24+E23</f>
        <v>10</v>
      </c>
      <c r="F24" s="25">
        <f>E24+F23</f>
        <v>88</v>
      </c>
      <c r="G24" s="25">
        <f>F24+G23</f>
        <v>203</v>
      </c>
      <c r="H24" s="25">
        <f>G24+H23</f>
        <v>355</v>
      </c>
      <c r="I24" s="25">
        <f t="shared" ref="I24:U24" si="10">H24+I23</f>
        <v>358</v>
      </c>
      <c r="J24" s="25">
        <f t="shared" si="10"/>
        <v>545</v>
      </c>
      <c r="K24" s="25">
        <f t="shared" si="10"/>
        <v>677</v>
      </c>
      <c r="L24" s="25">
        <f t="shared" si="10"/>
        <v>778</v>
      </c>
      <c r="M24" s="25">
        <f t="shared" si="10"/>
        <v>864</v>
      </c>
      <c r="N24" s="25">
        <f t="shared" si="10"/>
        <v>917</v>
      </c>
      <c r="O24" s="25">
        <f t="shared" si="10"/>
        <v>932</v>
      </c>
      <c r="P24" s="25">
        <f t="shared" si="10"/>
        <v>939</v>
      </c>
      <c r="Q24" s="25">
        <f t="shared" si="10"/>
        <v>945</v>
      </c>
      <c r="R24" s="25">
        <f t="shared" si="10"/>
        <v>951</v>
      </c>
      <c r="S24" s="25">
        <f t="shared" si="10"/>
        <v>957</v>
      </c>
      <c r="T24" s="25">
        <f t="shared" si="10"/>
        <v>962</v>
      </c>
      <c r="U24" s="25">
        <f t="shared" si="10"/>
        <v>967</v>
      </c>
      <c r="V24" s="25">
        <f t="shared" ref="V24" si="11">U24+V23</f>
        <v>970</v>
      </c>
      <c r="W24" s="25">
        <f t="shared" ref="W24" si="12">V24+W23</f>
        <v>971</v>
      </c>
      <c r="X24" s="25">
        <f t="shared" ref="X24" si="13">W24+X23</f>
        <v>971</v>
      </c>
      <c r="Y24" s="25">
        <f t="shared" ref="Y24" si="14">X24+Y23</f>
        <v>971</v>
      </c>
      <c r="Z24" s="25">
        <f t="shared" ref="Z24" si="15">Y24+Z23</f>
        <v>971</v>
      </c>
      <c r="AA24" s="25">
        <f t="shared" ref="AA24" si="16">Z24+AA23</f>
        <v>971</v>
      </c>
      <c r="AB24" s="25">
        <f t="shared" ref="AB24" si="17">AA24+AB23</f>
        <v>971</v>
      </c>
    </row>
    <row r="25" spans="1:28">
      <c r="A25" s="19" t="s">
        <v>55</v>
      </c>
      <c r="B25" s="19" t="s">
        <v>56</v>
      </c>
      <c r="C25" s="25">
        <f>C13-C24</f>
        <v>0</v>
      </c>
      <c r="D25" s="25">
        <f t="shared" ref="D25:W25" si="18">D13-D24</f>
        <v>2</v>
      </c>
      <c r="E25" s="25">
        <f t="shared" si="18"/>
        <v>13</v>
      </c>
      <c r="F25" s="25">
        <f t="shared" si="18"/>
        <v>93</v>
      </c>
      <c r="G25" s="25">
        <f t="shared" si="18"/>
        <v>198</v>
      </c>
      <c r="H25" s="25">
        <f t="shared" si="18"/>
        <v>252</v>
      </c>
      <c r="I25" s="25">
        <f t="shared" si="18"/>
        <v>284</v>
      </c>
      <c r="J25" s="25">
        <f t="shared" si="18"/>
        <v>218</v>
      </c>
      <c r="K25" s="25">
        <f t="shared" si="18"/>
        <v>170</v>
      </c>
      <c r="L25" s="25">
        <f t="shared" si="18"/>
        <v>124</v>
      </c>
      <c r="M25" s="25">
        <f t="shared" si="18"/>
        <v>65</v>
      </c>
      <c r="N25" s="25">
        <f t="shared" si="18"/>
        <v>29</v>
      </c>
      <c r="O25" s="25">
        <f t="shared" si="18"/>
        <v>26</v>
      </c>
      <c r="P25" s="25">
        <f t="shared" si="18"/>
        <v>26</v>
      </c>
      <c r="Q25" s="25">
        <f t="shared" si="18"/>
        <v>25</v>
      </c>
      <c r="R25" s="25">
        <f t="shared" si="18"/>
        <v>23</v>
      </c>
      <c r="S25" s="25">
        <f t="shared" si="18"/>
        <v>19</v>
      </c>
      <c r="T25" s="25">
        <f t="shared" si="18"/>
        <v>15</v>
      </c>
      <c r="U25" s="25">
        <f t="shared" si="18"/>
        <v>12</v>
      </c>
      <c r="V25" s="25">
        <f t="shared" si="18"/>
        <v>10</v>
      </c>
      <c r="W25" s="25">
        <f t="shared" si="18"/>
        <v>9</v>
      </c>
      <c r="X25" s="25">
        <f t="shared" ref="X25:AB25" si="19">X13-X24</f>
        <v>9</v>
      </c>
      <c r="Y25" s="25">
        <f t="shared" si="19"/>
        <v>9</v>
      </c>
      <c r="Z25" s="25">
        <f t="shared" si="19"/>
        <v>9</v>
      </c>
      <c r="AA25" s="25">
        <f t="shared" si="19"/>
        <v>9</v>
      </c>
      <c r="AB25" s="25">
        <f t="shared" si="19"/>
        <v>9</v>
      </c>
    </row>
    <row r="26" spans="1:28">
      <c r="A26" s="13" t="s">
        <v>57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</row>
    <row r="27" spans="1:28" ht="17">
      <c r="A27" s="44" t="s">
        <v>58</v>
      </c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</row>
    <row r="28" spans="1:28" ht="17">
      <c r="A28" s="46" t="s">
        <v>59</v>
      </c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</row>
    <row r="29" spans="1:28" ht="17">
      <c r="A29" s="48" t="s">
        <v>60</v>
      </c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</row>
  </sheetData>
  <protectedRanges>
    <protectedRange sqref="D6:G6 I6:Q6 N7 O7:AB7" name="区域1_1"/>
    <protectedRange sqref="H7:M7 D7:F7" name="区域1_4"/>
    <protectedRange sqref="D8:L8" name="区域1_7"/>
    <protectedRange sqref="D5:P5" name="区域1"/>
    <protectedRange sqref="D6:G6 I6:Q6 N7:AB7" name="区域1_1_1"/>
    <protectedRange sqref="C4:AB4 C5:C9 S6:AB6 C10:P10 C11:K11 V5:AB5" name="区域1_3"/>
    <protectedRange sqref="H7:M7 D7:F7" name="区域1_4_1"/>
    <protectedRange sqref="H9:Q9 D9:F9" name="区域1_6"/>
    <protectedRange sqref="D8:L8" name="区域1_7_1"/>
  </protectedRanges>
  <customSheetViews>
    <customSheetView guid="{1062AB10-982C-4309-9CD5-0084ABD101B5}">
      <selection activeCell="L18" sqref="L18"/>
      <pageMargins left="0.7" right="0.7" top="0.75" bottom="0.75" header="0.3" footer="0.3"/>
      <pageSetup paperSize="9" orientation="portrait"/>
    </customSheetView>
    <customSheetView guid="{D796FD1B-3799-48AB-9F20-11C8F0719461}" scale="115">
      <pane xSplit="3" ySplit="4" topLeftCell="D5" state="frozen"/>
      <selection activeCell="R31" sqref="R31"/>
      <pageMargins left="0.7" right="0.7" top="0.75" bottom="0.75" header="0.3" footer="0.3"/>
      <pageSetup paperSize="9" orientation="portrait"/>
    </customSheetView>
    <customSheetView guid="{A17EB640-8A85-4654-BB32-64D77149EF56}">
      <pane xSplit="3" ySplit="4" topLeftCell="D5" state="frozen"/>
      <selection activeCell="AN18" sqref="AN18"/>
      <pageMargins left="0.7" right="0.7" top="0.75" bottom="0.75" header="0.3" footer="0.3"/>
      <pageSetup paperSize="9" orientation="portrait"/>
    </customSheetView>
  </customSheetViews>
  <mergeCells count="6">
    <mergeCell ref="Y1:AB1"/>
    <mergeCell ref="C1:F1"/>
    <mergeCell ref="G1:J1"/>
    <mergeCell ref="K1:O1"/>
    <mergeCell ref="P1:S1"/>
    <mergeCell ref="T1:X1"/>
  </mergeCells>
  <phoneticPr fontId="15" type="noConversion"/>
  <pageMargins left="0.7" right="0.7" top="0.75" bottom="0.75" header="0.3" footer="0.3"/>
  <pageSetup paperSize="9" orientation="portrait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区域1_1" rangeCreator="" othersAccessPermission="edit"/>
    <arrUserId title="区域1_4" rangeCreator="" othersAccessPermission="edit"/>
    <arrUserId title="区域1_7" rangeCreator="" othersAccessPermission="edit"/>
    <arrUserId title="区域1" rangeCreator="" othersAccessPermission="edit"/>
    <arrUserId title="区域1_1_1" rangeCreator="" othersAccessPermission="edit"/>
    <arrUserId title="区域1_3" rangeCreator="" othersAccessPermission="edit"/>
    <arrUserId title="区域1_4_1" rangeCreator="" othersAccessPermission="edit"/>
    <arrUserId title="区域1_6" rangeCreator="" othersAccessPermission="edit"/>
    <arrUserId title="区域1_7_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DRP Plan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Human01</dc:creator>
  <cp:lastModifiedBy>HAO LIN</cp:lastModifiedBy>
  <cp:lastPrinted>2014-02-11T12:39:00Z</cp:lastPrinted>
  <dcterms:created xsi:type="dcterms:W3CDTF">2014-02-11T09:14:00Z</dcterms:created>
  <dcterms:modified xsi:type="dcterms:W3CDTF">2026-05-06T06:27:41Z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3307a688-cb4e-4216-87a7-59b03a65a31b</vt:lpwstr>
  </property>
  <property fmtid="{D5CDD505-2E9C-101B-9397-08002B2CF9AE}" pid="3" name="ICV">
    <vt:lpwstr>B367945B227841FF985932D81F5B3F91_13</vt:lpwstr>
  </property>
  <property fmtid="{D5CDD505-2E9C-101B-9397-08002B2CF9AE}" pid="4" name="KSOProductBuildVer">
    <vt:lpwstr>2052-12.1.0.24034</vt:lpwstr>
  </property>
  <property fmtid="{D5CDD505-2E9C-101B-9397-08002B2CF9AE}" pid="5" name="CalculationRule">
    <vt:i4>0</vt:i4>
  </property>
</Properties>
</file>